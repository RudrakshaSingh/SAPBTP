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ud, Prog &amp; GenAI MCQ" sheetId="1" state="visible" r:id="rId3"/>
    <sheet name="Summary" sheetId="2" state="visible" r:id="rId4"/>
  </sheets>
  <definedNames>
    <definedName function="false" hidden="true" localSheetId="0" name="_xlnm._FilterDatabase" vbProcedure="false">'Cloud, Prog &amp; GenAI MCQ'!$A$1:$I$251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<sst xmlns="http://schemas.openxmlformats.org/spreadsheetml/2006/main" count="2040" uniqueCount="1265">
  <si>
    <t xml:space="preserve">S.No.</t>
  </si>
  <si>
    <t xml:space="preserve">Topic</t>
  </si>
  <si>
    <t xml:space="preserve">Difficulty Level</t>
  </si>
  <si>
    <t xml:space="preserve">Question Text</t>
  </si>
  <si>
    <t xml:space="preserve">Answer Choice 1</t>
  </si>
  <si>
    <t xml:space="preserve">Answer Choice 2</t>
  </si>
  <si>
    <t xml:space="preserve">Answer Choice 3</t>
  </si>
  <si>
    <t xml:space="preserve">Answer Choice 4</t>
  </si>
  <si>
    <t xml:space="preserve">Correct Answer</t>
  </si>
  <si>
    <t xml:space="preserve">Cloud Fundamentals</t>
  </si>
  <si>
    <t xml:space="preserve">Easy</t>
  </si>
  <si>
    <t xml:space="preserve">What does 'cloud computing' primarily refer to?</t>
  </si>
  <si>
    <t xml:space="preserve">A weather-forecasting software package</t>
  </si>
  <si>
    <t xml:space="preserve">On-demand delivery of computing resources (servers, storage, databases) over the internet</t>
  </si>
  <si>
    <t xml:space="preserve">A type of physical network cable</t>
  </si>
  <si>
    <t xml:space="preserve">Storing files only on a local hard drive</t>
  </si>
  <si>
    <t xml:space="preserve">Choice 2</t>
  </si>
  <si>
    <t xml:space="preserve">Which cloud service model provides ready-to-use software applications over the internet?</t>
  </si>
  <si>
    <t xml:space="preserve">DaaS (Data as a Service)</t>
  </si>
  <si>
    <t xml:space="preserve">SaaS (Software as a Service)</t>
  </si>
  <si>
    <t xml:space="preserve">IaaS (Infrastructure as a Service)</t>
  </si>
  <si>
    <t xml:space="preserve">PaaS (Platform as a Service)</t>
  </si>
  <si>
    <t xml:space="preserve">In a public cloud deployment model, the infrastructure is:</t>
  </si>
  <si>
    <t xml:space="preserve">Dedicated to a single organization and hosted on-premises only</t>
  </si>
  <si>
    <t xml:space="preserve">Limited to storing printed documents</t>
  </si>
  <si>
    <t xml:space="preserve">Never connected to the internet</t>
  </si>
  <si>
    <t xml:space="preserve">Owned and operated by a third-party provider and shared across multiple customers</t>
  </si>
  <si>
    <t xml:space="preserve">Choice 4</t>
  </si>
  <si>
    <t xml:space="preserve">Medium</t>
  </si>
  <si>
    <t xml:space="preserve">Which characteristic best describes 'elasticity' in cloud computing?</t>
  </si>
  <si>
    <t xml:space="preserve">Resources automatically scale up or down to match demand</t>
  </si>
  <si>
    <t xml:space="preserve">All servers must be manually restarted daily</t>
  </si>
  <si>
    <t xml:space="preserve">Data can never be deleted once uploaded</t>
  </si>
  <si>
    <t xml:space="preserve">Applications can only run in one geographic region</t>
  </si>
  <si>
    <t xml:space="preserve">Choice 1</t>
  </si>
  <si>
    <t xml:space="preserve">What is a key difference between IaaS and PaaS?</t>
  </si>
  <si>
    <t xml:space="preserve">PaaS gives you raw hardware while IaaS gives finished apps</t>
  </si>
  <si>
    <t xml:space="preserve">They are identical with different names</t>
  </si>
  <si>
    <t xml:space="preserve">IaaS can only run on-premises and PaaS only in the cloud</t>
  </si>
  <si>
    <t xml:space="preserve">IaaS provides virtualized infrastructure (VMs, storage, networking) while PaaS also provides a managed platform/runtime for building and deploying apps</t>
  </si>
  <si>
    <t xml:space="preserve">In the shared responsibility model, who is typically responsible for securing customer data and access management in a cloud service?</t>
  </si>
  <si>
    <t xml:space="preserve">The customer, while the provider secures the underlying infrastructure</t>
  </si>
  <si>
    <t xml:space="preserve">An external auditor who owns all the data</t>
  </si>
  <si>
    <t xml:space="preserve">Neither party is responsible for data security</t>
  </si>
  <si>
    <t xml:space="preserve">The cloud provider alone</t>
  </si>
  <si>
    <t xml:space="preserve">Difficult</t>
  </si>
  <si>
    <t xml:space="preserve">An organization needs strict data residency and dedicated control for regulated workloads, but also wants burst capacity for seasonal peaks. Which deployment approach best fits?</t>
  </si>
  <si>
    <t xml:space="preserve">Run all workloads on individual employee laptops</t>
  </si>
  <si>
    <t xml:space="preserve">Adopt a hybrid cloud: keep regulated workloads in a private cloud/on-prem while bursting non-sensitive peak load to public cloud, connected securely</t>
  </si>
  <si>
    <t xml:space="preserve">Move everything to a single public cloud region and ignore residency rules</t>
  </si>
  <si>
    <t xml:space="preserve">Use only a community cloud with no private component</t>
  </si>
  <si>
    <t xml:space="preserve">A team wants to run event-driven code without managing servers, paying only for actual execution time. Which cloud model is most appropriate and what is its trade-off?</t>
  </si>
  <si>
    <t xml:space="preserve">Serverless / Function-as-a-Service, with trade-offs such as cold-start latency and execution time limits</t>
  </si>
  <si>
    <t xml:space="preserve">Static file hosting, which can execute arbitrary backend logic</t>
  </si>
  <si>
    <t xml:space="preserve">Dedicated bare-metal servers, with the trade-off of instant scaling</t>
  </si>
  <si>
    <t xml:space="preserve">A traditional on-premises data center, with no operational overhead</t>
  </si>
  <si>
    <t xml:space="preserve">RDBMS &amp; SQL (MySQL)</t>
  </si>
  <si>
    <t xml:space="preserve">What does RDBMS stand for?</t>
  </si>
  <si>
    <t xml:space="preserve">Rapid Data Backup Management Service</t>
  </si>
  <si>
    <t xml:space="preserve">Remote Distributed Batch Messaging System</t>
  </si>
  <si>
    <t xml:space="preserve">Relational Database Management System</t>
  </si>
  <si>
    <t xml:space="preserve">Reliable Directory of Business Metrics Store</t>
  </si>
  <si>
    <t xml:space="preserve">Choice 3</t>
  </si>
  <si>
    <t xml:space="preserve">In a relational database, what is a 'primary key'?</t>
  </si>
  <si>
    <t xml:space="preserve">The first column alphabetically in any table</t>
  </si>
  <si>
    <t xml:space="preserve">A key used only to encrypt data</t>
  </si>
  <si>
    <t xml:space="preserve">A column (or set of columns) that uniquely identifies each row in a table</t>
  </si>
  <si>
    <t xml:space="preserve">The password used to log into MySQL</t>
  </si>
  <si>
    <t xml:space="preserve">Which SQL statement is used to retrieve data from a table?</t>
  </si>
  <si>
    <t xml:space="preserve">UPDATE</t>
  </si>
  <si>
    <t xml:space="preserve">SELECT</t>
  </si>
  <si>
    <t xml:space="preserve">DELETE</t>
  </si>
  <si>
    <t xml:space="preserve">INSERT</t>
  </si>
  <si>
    <t xml:space="preserve">Which SQL clause is used to filter rows based on a condition?</t>
  </si>
  <si>
    <t xml:space="preserve">HAVING</t>
  </si>
  <si>
    <t xml:space="preserve">WHERE</t>
  </si>
  <si>
    <t xml:space="preserve">GROUP BY</t>
  </si>
  <si>
    <t xml:space="preserve">ORDER BY</t>
  </si>
  <si>
    <t xml:space="preserve">What does a FOREIGN KEY enforce in a relational schema?</t>
  </si>
  <si>
    <t xml:space="preserve">Automatic encryption of the referenced column</t>
  </si>
  <si>
    <t xml:space="preserve">Referential integrity by linking a column to the primary key of another table</t>
  </si>
  <si>
    <t xml:space="preserve">It guarantees a column contains only numbers</t>
  </si>
  <si>
    <t xml:space="preserve">That a table can never be deleted</t>
  </si>
  <si>
    <t xml:space="preserve">Which JOIN returns only the rows that have matching values in both tables?</t>
  </si>
  <si>
    <t xml:space="preserve">INNER JOIN</t>
  </si>
  <si>
    <t xml:space="preserve">FULL OUTER JOIN</t>
  </si>
  <si>
    <t xml:space="preserve">RIGHT JOIN</t>
  </si>
  <si>
    <t xml:space="preserve">LEFT JOIN</t>
  </si>
  <si>
    <t xml:space="preserve">What is the difference between WHERE and HAVING in SQL?</t>
  </si>
  <si>
    <t xml:space="preserve">They are interchangeable in all cases</t>
  </si>
  <si>
    <t xml:space="preserve">WHERE filters rows before aggregation; HAVING filters groups after aggregation (e.g., on aggregate results)</t>
  </si>
  <si>
    <t xml:space="preserve">WHERE only works on numeric columns</t>
  </si>
  <si>
    <t xml:space="preserve">HAVING can only be used without GROUP BY</t>
  </si>
  <si>
    <t xml:space="preserve">Which aggregate function would you use to count the number of rows in a result set?</t>
  </si>
  <si>
    <t xml:space="preserve">MAX()</t>
  </si>
  <si>
    <t xml:space="preserve">SUM()</t>
  </si>
  <si>
    <t xml:space="preserve">AVG()</t>
  </si>
  <si>
    <t xml:space="preserve">COUNT()</t>
  </si>
  <si>
    <t xml:space="preserve">What is database normalization primarily intended to reduce?</t>
  </si>
  <si>
    <t xml:space="preserve">Data redundancy and update anomalies</t>
  </si>
  <si>
    <t xml:space="preserve">The need for primary keys</t>
  </si>
  <si>
    <t xml:space="preserve">The number of tables to exactly one</t>
  </si>
  <si>
    <t xml:space="preserve">Query readability</t>
  </si>
  <si>
    <t xml:space="preserve">In MySQL, what does the GROUP BY clause do?</t>
  </si>
  <si>
    <t xml:space="preserve">Groups rows that share values in specified columns so aggregate functions can be applied per group</t>
  </si>
  <si>
    <t xml:space="preserve">Creates a foreign key automatically</t>
  </si>
  <si>
    <t xml:space="preserve">Sorts the final result in ascending order</t>
  </si>
  <si>
    <t xml:space="preserve">Deletes duplicate tables</t>
  </si>
  <si>
    <t xml:space="preserve">A query joins a large orders table to a customers table and runs slowly. Filtering is done on orders.customer_id. What is the most effective first optimization?</t>
  </si>
  <si>
    <t xml:space="preserve">Convert both tables to a single denormalized text file</t>
  </si>
  <si>
    <t xml:space="preserve">Remove the WHERE clause entirely</t>
  </si>
  <si>
    <t xml:space="preserve">Create an index on the join/filter column (e.g., orders.customer_id) so the engine can avoid full table scans</t>
  </si>
  <si>
    <t xml:space="preserve">Add SELECT * to return more columns</t>
  </si>
  <si>
    <t xml:space="preserve">You need each department's highest-paid employee along with their name. Which approach correctly returns this?</t>
  </si>
  <si>
    <t xml:space="preserve">SELECT dept, MAX(salary), name GROUP BY dept — because non-aggregated columns are always valid</t>
  </si>
  <si>
    <t xml:space="preserve">Use a window function (e.g., ROW_NUMBER() OVER (PARTITION BY dept ORDER BY salary DESC)) or a correlated subquery, since selecting name alongside a bare MAX() per group is ambiguous</t>
  </si>
  <si>
    <t xml:space="preserve">A simple SELECT * with no grouping</t>
  </si>
  <si>
    <t xml:space="preserve">DELETE the lower-paid employees first</t>
  </si>
  <si>
    <t xml:space="preserve">A LEFT JOIN between customers and orders is being used to find customers with NO orders, but adding a WHERE orders.amount &gt; 100 filter unexpectedly drops the no-order customers. Why?</t>
  </si>
  <si>
    <t xml:space="preserve">LEFT JOIN never returns unmatched rows</t>
  </si>
  <si>
    <t xml:space="preserve">MySQL does not support LEFT JOIN</t>
  </si>
  <si>
    <t xml:space="preserve">The customers table must be indexed for LEFT JOIN to work at all</t>
  </si>
  <si>
    <t xml:space="preserve">A condition on the right table's columns in WHERE turns the outer join into an effective inner join; the null-row customers fail the predicate. The 'no orders' check should use WHERE orders.id IS NULL, and amount filters belong in the ON clause</t>
  </si>
  <si>
    <t xml:space="preserve">Two concurrent transactions each read a balance, then update it, causing one update to be lost. Which concept and mechanism address this?</t>
  </si>
  <si>
    <t xml:space="preserve">This is a syntax error unrelated to concurrency</t>
  </si>
  <si>
    <t xml:space="preserve">Drop the primary key to allow simultaneous writes</t>
  </si>
  <si>
    <t xml:space="preserve">Simply run both queries faster to avoid overlap</t>
  </si>
  <si>
    <t xml:space="preserve">It is a lost-update / concurrency problem; use transactions with appropriate isolation levels and locking (or optimistic concurrency with version checks) to enforce consistency</t>
  </si>
  <si>
    <t xml:space="preserve">Python for Data Engineers</t>
  </si>
  <si>
    <t xml:space="preserve">Which Python data structure is ordered and mutable (can be changed after creation)?</t>
  </si>
  <si>
    <t xml:space="preserve">list</t>
  </si>
  <si>
    <t xml:space="preserve">int</t>
  </si>
  <si>
    <t xml:space="preserve">frozenset</t>
  </si>
  <si>
    <t xml:space="preserve">tuple</t>
  </si>
  <si>
    <t xml:space="preserve">Which library is most commonly used for tabular data analysis in Python?</t>
  </si>
  <si>
    <t xml:space="preserve">turtle</t>
  </si>
  <si>
    <t xml:space="preserve">tkinter</t>
  </si>
  <si>
    <t xml:space="preserve">pandas</t>
  </si>
  <si>
    <t xml:space="preserve">socket</t>
  </si>
  <si>
    <t xml:space="preserve">What is a Python dictionary?</t>
  </si>
  <si>
    <t xml:space="preserve">A function that returns text</t>
  </si>
  <si>
    <t xml:space="preserve">An ordered list of numbers only</t>
  </si>
  <si>
    <t xml:space="preserve">A collection of key-value pairs</t>
  </si>
  <si>
    <t xml:space="preserve">A type of loop</t>
  </si>
  <si>
    <t xml:space="preserve">Which keyword is used to define a function in Python?</t>
  </si>
  <si>
    <t xml:space="preserve">def</t>
  </si>
  <si>
    <t xml:space="preserve">define</t>
  </si>
  <si>
    <t xml:space="preserve">func</t>
  </si>
  <si>
    <t xml:space="preserve">function</t>
  </si>
  <si>
    <t xml:space="preserve">In pandas, what does df.groupby('col').agg({'x':'sum'}) do?</t>
  </si>
  <si>
    <t xml:space="preserve">Renames the DataFrame to 'col'</t>
  </si>
  <si>
    <t xml:space="preserve">Sorts the DataFrame by 'x'</t>
  </si>
  <si>
    <t xml:space="preserve">Groups rows by 'col' and computes the sum of column 'x' for each group</t>
  </si>
  <si>
    <t xml:space="preserve">Deletes the column 'col'</t>
  </si>
  <si>
    <t xml:space="preserve">What is the primary advantage of NumPy arrays over standard Python lists for numerical work?</t>
  </si>
  <si>
    <t xml:space="preserve">They offer vectorized operations and contiguous, typed memory for faster numerical computation</t>
  </si>
  <si>
    <t xml:space="preserve">They cannot be indexed</t>
  </si>
  <si>
    <t xml:space="preserve">They can only hold strings</t>
  </si>
  <si>
    <t xml:space="preserve">They automatically connect to databases</t>
  </si>
  <si>
    <t xml:space="preserve">Which pandas method would you use to combine two DataFrames based on a common key column, similar to a SQL join?</t>
  </si>
  <si>
    <t xml:space="preserve">df.dropna()</t>
  </si>
  <si>
    <t xml:space="preserve">pd.merge()</t>
  </si>
  <si>
    <t xml:space="preserve">df.plot()</t>
  </si>
  <si>
    <t xml:space="preserve">df.describe()</t>
  </si>
  <si>
    <t xml:space="preserve">When reading a large CSV that doesn't fit comfortably in memory, which pandas approach helps?</t>
  </si>
  <si>
    <t xml:space="preserve">Read it twice to be safe</t>
  </si>
  <si>
    <t xml:space="preserve">Use the chunksize parameter (or specify dtypes / usecols) to process the file in smaller pieces</t>
  </si>
  <si>
    <t xml:space="preserve">Convert it to an image first</t>
  </si>
  <si>
    <t xml:space="preserve">Disable all data types</t>
  </si>
  <si>
    <t xml:space="preserve">What does the context manager 'with open(file) as f:' primarily ensure?</t>
  </si>
  <si>
    <t xml:space="preserve">The file is encrypted</t>
  </si>
  <si>
    <t xml:space="preserve">The file is deleted after reading</t>
  </si>
  <si>
    <t xml:space="preserve">The file is uploaded to the cloud</t>
  </si>
  <si>
    <t xml:space="preserve">The file is automatically and properly closed when the block ends, even if an error occurs</t>
  </si>
  <si>
    <t xml:space="preserve">In pandas, how are missing values typically represented and one common way to handle them?</t>
  </si>
  <si>
    <t xml:space="preserve">As the string 'missing'; they cannot be handled</t>
  </si>
  <si>
    <t xml:space="preserve">As boolean True; handled by renaming columns</t>
  </si>
  <si>
    <t xml:space="preserve">As 0 always; they must be ignored</t>
  </si>
  <si>
    <t xml:space="preserve">As NaN; handled via methods like dropna() to remove or fillna() to impute</t>
  </si>
  <si>
    <t xml:space="preserve">A data pipeline uses df.apply(func, axis=1) row-by-row and is far too slow on millions of rows. What is the most effective Pythonic fix?</t>
  </si>
  <si>
    <t xml:space="preserve">Add more print statements to monitor progress</t>
  </si>
  <si>
    <t xml:space="preserve">Replace the row-wise apply with vectorized pandas/NumPy operations (or built-in methods), which operate on whole arrays in C rather than per-row Python calls</t>
  </si>
  <si>
    <t xml:space="preserve">Convert the DataFrame to a list of dictionaries and loop manually</t>
  </si>
  <si>
    <t xml:space="preserve">Increase the loop counter</t>
  </si>
  <si>
    <t xml:space="preserve">Why can 'a = [[0]*3]*3' create a bug when you set a[0][0] = 1 and multiple rows change?</t>
  </si>
  <si>
    <t xml:space="preserve">The outer multiplication copies references to the same inner list, so all rows point to one list; use a list comprehension like [[0]*3 for _ in range(3)] to create independent rows</t>
  </si>
  <si>
    <t xml:space="preserve">Because the syntax raises a SyntaxError</t>
  </si>
  <si>
    <t xml:space="preserve">Because lists cannot hold integers</t>
  </si>
  <si>
    <t xml:space="preserve">Because Python lists are immutable</t>
  </si>
  <si>
    <t xml:space="preserve">A generator function using 'yield' is chosen over building a full list. What is the key engineering benefit for large data streams?</t>
  </si>
  <si>
    <t xml:space="preserve">It produces items lazily one at a time, keeping memory usage low and enabling streaming over datasets larger than RAM</t>
  </si>
  <si>
    <t xml:space="preserve">It automatically parallelizes across all CPU cores</t>
  </si>
  <si>
    <t xml:space="preserve">It loads all data into memory at once for speed</t>
  </si>
  <si>
    <t xml:space="preserve">It converts the data to SQL</t>
  </si>
  <si>
    <t xml:space="preserve">You must ensure a numeric ID column loaded from CSV keeps leading zeros and isn't inferred as int. What is the correct pandas practice?</t>
  </si>
  <si>
    <t xml:space="preserve">Specify the column dtype as str on read (e.g., dtype={'id': str}) so pandas doesn't infer it as an integer and strip the zeros</t>
  </si>
  <si>
    <t xml:space="preserve">Multiply the column by 10 after loading</t>
  </si>
  <si>
    <t xml:space="preserve">Convert the whole DataFrame to floats</t>
  </si>
  <si>
    <t xml:space="preserve">Nothing; pandas always preserves leading zeros</t>
  </si>
  <si>
    <t xml:space="preserve">Copilot Fundamentals</t>
  </si>
  <si>
    <t xml:space="preserve">What is GitHub Copilot primarily designed to do?</t>
  </si>
  <si>
    <t xml:space="preserve">Provide AI-powered code suggestions and completions inside the developer's editor</t>
  </si>
  <si>
    <t xml:space="preserve">Manage cloud billing invoices</t>
  </si>
  <si>
    <t xml:space="preserve">Replace the need for a version control system</t>
  </si>
  <si>
    <t xml:space="preserve">Serve as a relational database engine</t>
  </si>
  <si>
    <t xml:space="preserve">In the context of AI coding assistants, what is a 'code suggestion'?</t>
  </si>
  <si>
    <t xml:space="preserve">A ticket filed to the support team</t>
  </si>
  <si>
    <t xml:space="preserve">A compiled binary file</t>
  </si>
  <si>
    <t xml:space="preserve">AI-generated code the developer can accept, reject, or edit</t>
  </si>
  <si>
    <t xml:space="preserve">A network configuration setting</t>
  </si>
  <si>
    <t xml:space="preserve">Microsoft Copilot (M365 Copilot) is best described as:</t>
  </si>
  <si>
    <t xml:space="preserve">An AI assistant embedded in productivity apps to help draft, summarize, and analyze content</t>
  </si>
  <si>
    <t xml:space="preserve">A hardware GPU accelerator</t>
  </si>
  <si>
    <t xml:space="preserve">A physical office badge system</t>
  </si>
  <si>
    <t xml:space="preserve">A database migration tool only</t>
  </si>
  <si>
    <t xml:space="preserve">How can GitHub Copilot assist with ETL automation for data engineering?</t>
  </si>
  <si>
    <t xml:space="preserve">By encrypting all source data automatically</t>
  </si>
  <si>
    <t xml:space="preserve">By generating boilerplate transformation code (e.g., PySpark) and query snippets from natural-language comments, accelerating pipeline development</t>
  </si>
  <si>
    <t xml:space="preserve">By replacing the data warehouse entirely</t>
  </si>
  <si>
    <t xml:space="preserve">By physically installing servers</t>
  </si>
  <si>
    <t xml:space="preserve">What is a realistic role for an AI assistant in generating SQL queries for a data engineer?</t>
  </si>
  <si>
    <t xml:space="preserve">It permanently stores all query results in the model</t>
  </si>
  <si>
    <t xml:space="preserve">It drafts queries from a plain-language description that the engineer then validates and tests against the schema</t>
  </si>
  <si>
    <t xml:space="preserve">It guarantees every generated query is production-ready without review</t>
  </si>
  <si>
    <t xml:space="preserve">It executes queries directly on production without permissions</t>
  </si>
  <si>
    <t xml:space="preserve">Why should developers review AI-generated code rather than accept it blindly?</t>
  </si>
  <si>
    <t xml:space="preserve">Because Copilot cannot generate any correct code</t>
  </si>
  <si>
    <t xml:space="preserve">Suggestions may contain subtle bugs, insecure patterns, or logic that doesn't match business intent, so human validation and testing are essential</t>
  </si>
  <si>
    <t xml:space="preserve">AI code is always syntactically invalid</t>
  </si>
  <si>
    <t xml:space="preserve">Because reviewing is legally required to compile any program</t>
  </si>
  <si>
    <t xml:space="preserve">A team wants Copilot to help build a PySpark ETL job but is concerned about data governance and correctness. What is the most responsible workflow?</t>
  </si>
  <si>
    <t xml:space="preserve">Paste production credentials into prompts for convenience</t>
  </si>
  <si>
    <t xml:space="preserve">Use Copilot to accelerate drafting, then apply code review, unit/integration tests on sample data, schema validation, and governance checks before promoting to production</t>
  </si>
  <si>
    <t xml:space="preserve">Disable all testing to ship faster</t>
  </si>
  <si>
    <t xml:space="preserve">Let Copilot write and auto-deploy the pipeline to production untouched</t>
  </si>
  <si>
    <t xml:space="preserve">A data engineer uses an AI assistant to generate a transformation, but it silently drops rows with null keys, causing downstream data loss. What lesson does this illustrate about AI-assisted ETL?</t>
  </si>
  <si>
    <t xml:space="preserve">The assistant should be given write access to fix it live</t>
  </si>
  <si>
    <t xml:space="preserve">AI assistants understand full business context perfectly</t>
  </si>
  <si>
    <t xml:space="preserve">Null values are impossible in real data</t>
  </si>
  <si>
    <t xml:space="preserve">Generated code reflects only the prompt's stated intent; edge cases (nulls, duplicates, types) must be explicitly specified and verified, with data-quality checks in the pipeline</t>
  </si>
  <si>
    <t xml:space="preserve">Introduction to AI &amp; ML</t>
  </si>
  <si>
    <t xml:space="preserve">What is 'machine learning'?</t>
  </si>
  <si>
    <t xml:space="preserve">A method of manually coding every possible outcome</t>
  </si>
  <si>
    <t xml:space="preserve">A field where systems learn patterns from data to make predictions or decisions without being explicitly programmed for every rule</t>
  </si>
  <si>
    <t xml:space="preserve">A spreadsheet formula language</t>
  </si>
  <si>
    <t xml:space="preserve">A type of computer monitor</t>
  </si>
  <si>
    <t xml:space="preserve">In supervised learning, the training data includes:</t>
  </si>
  <si>
    <t xml:space="preserve">Random noise only</t>
  </si>
  <si>
    <t xml:space="preserve">Only inputs with no labels</t>
  </si>
  <si>
    <t xml:space="preserve">No data at all</t>
  </si>
  <si>
    <t xml:space="preserve">Input features paired with known output labels</t>
  </si>
  <si>
    <t xml:space="preserve">Which of the following is a typical unsupervised learning task?</t>
  </si>
  <si>
    <t xml:space="preserve">Forecasting demand from historical labeled sales</t>
  </si>
  <si>
    <t xml:space="preserve">Clustering customers into groups based on similarity without predefined labels</t>
  </si>
  <si>
    <t xml:space="preserve">Classifying emails using labeled spam/not-spam data</t>
  </si>
  <si>
    <t xml:space="preserve">Predicting house prices from labeled sales</t>
  </si>
  <si>
    <t xml:space="preserve">What is 'deep learning' most closely associated with?</t>
  </si>
  <si>
    <t xml:space="preserve">Neural networks with many layers that learn hierarchical representations</t>
  </si>
  <si>
    <t xml:space="preserve">Manual rule writing</t>
  </si>
  <si>
    <t xml:space="preserve">Shallow decision trees only</t>
  </si>
  <si>
    <t xml:space="preserve">Relational database indexing</t>
  </si>
  <si>
    <t xml:space="preserve">What distinguishes classification from regression in supervised learning?</t>
  </si>
  <si>
    <t xml:space="preserve">Classification cannot use labeled data</t>
  </si>
  <si>
    <t xml:space="preserve">Classification predicts discrete categories; regression predicts continuous numeric values</t>
  </si>
  <si>
    <t xml:space="preserve">They are the same technique</t>
  </si>
  <si>
    <t xml:space="preserve">Regression only works on images</t>
  </si>
  <si>
    <t xml:space="preserve">In reinforcement learning, how does an agent learn?</t>
  </si>
  <si>
    <t xml:space="preserve">By interacting with an environment and receiving rewards or penalties to maximize cumulative reward</t>
  </si>
  <si>
    <t xml:space="preserve">By clustering data into groups</t>
  </si>
  <si>
    <t xml:space="preserve">By copying another model's weights directly</t>
  </si>
  <si>
    <t xml:space="preserve">By memorizing a fixed labeled dataset once</t>
  </si>
  <si>
    <t xml:space="preserve">What does 'overfitting' mean in machine learning?</t>
  </si>
  <si>
    <t xml:space="preserve">The model trains too quickly</t>
  </si>
  <si>
    <t xml:space="preserve">The model is too simple to learn anything</t>
  </si>
  <si>
    <t xml:space="preserve">The dataset has too few columns</t>
  </si>
  <si>
    <t xml:space="preserve">The model performs well on training data but poorly on unseen data because it memorized noise instead of generalizable patterns</t>
  </si>
  <si>
    <t xml:space="preserve">In NLP, what is 'tokenization'?</t>
  </si>
  <si>
    <t xml:space="preserve">Breaking text into smaller units such as words or subwords for processing</t>
  </si>
  <si>
    <t xml:space="preserve">Compressing a file to save space</t>
  </si>
  <si>
    <t xml:space="preserve">Translating text into machine code</t>
  </si>
  <si>
    <t xml:space="preserve">Encrypting text with a secret key</t>
  </si>
  <si>
    <t xml:space="preserve">A classifier reports 98% accuracy on a dataset where 98% of samples are the negative class. Why is accuracy misleading here and what is a better metric?</t>
  </si>
  <si>
    <t xml:space="preserve">Accuracy is always the best metric regardless of class balance</t>
  </si>
  <si>
    <t xml:space="preserve">Accuracy should be replaced by training time</t>
  </si>
  <si>
    <t xml:space="preserve">The dataset must be discarded entirely</t>
  </si>
  <si>
    <t xml:space="preserve">With severe class imbalance, a model predicting only the majority class scores high accuracy while failing the minority class; use precision, recall, F1, or AUC to evaluate meaningfully</t>
  </si>
  <si>
    <t xml:space="preserve">A model shows low training error but high validation error. What is the diagnosis and a suitable remedy?</t>
  </si>
  <si>
    <t xml:space="preserve">Underfitting; add more layers only</t>
  </si>
  <si>
    <t xml:space="preserve">The learning rate is irrelevant to this</t>
  </si>
  <si>
    <t xml:space="preserve">The problem is always insufficient epochs</t>
  </si>
  <si>
    <t xml:space="preserve">Overfitting (high variance); remedies include regularization, more training data, simpler models, dropout, or early stopping</t>
  </si>
  <si>
    <t xml:space="preserve">Why is splitting data into train/validation/test sets important, and what mistake causes 'data leakage'?</t>
  </si>
  <si>
    <t xml:space="preserve">The test set should be used to tune hyperparameters repeatedly</t>
  </si>
  <si>
    <t xml:space="preserve">Splitting is unnecessary if the model is deep enough</t>
  </si>
  <si>
    <t xml:space="preserve">Leakage means the disk ran out of space</t>
  </si>
  <si>
    <t xml:space="preserve">Splits give an honest estimate of generalization; leakage occurs when information from validation/test (or future data) influences training—e.g., fitting a scaler on the full dataset before splitting—inflating performance</t>
  </si>
  <si>
    <t xml:space="preserve">In deep learning, what problem does the 'vanishing gradient' describe and one common mitigation?</t>
  </si>
  <si>
    <t xml:space="preserve">Gradients grow infinitely large, fixed by removing all layers</t>
  </si>
  <si>
    <t xml:space="preserve">It refers to losing the dataset file</t>
  </si>
  <si>
    <t xml:space="preserve">Gradients become extremely small in deep networks, slowing or stalling learning in early layers; mitigations include ReLU activations, residual connections, and normalization</t>
  </si>
  <si>
    <t xml:space="preserve">The model runs out of training labels</t>
  </si>
  <si>
    <t xml:space="preserve">Generative AI Fundamentals</t>
  </si>
  <si>
    <t xml:space="preserve">What is 'generative AI'?</t>
  </si>
  <si>
    <t xml:space="preserve">AI that only sorts existing files</t>
  </si>
  <si>
    <t xml:space="preserve">AI that can create new content such as text, images, audio, or code based on learned patterns</t>
  </si>
  <si>
    <t xml:space="preserve">A type of database index</t>
  </si>
  <si>
    <t xml:space="preserve">A hardware firewall</t>
  </si>
  <si>
    <t xml:space="preserve">What is a Large Language Model (LLM)?</t>
  </si>
  <si>
    <t xml:space="preserve">A spreadsheet macro</t>
  </si>
  <si>
    <t xml:space="preserve">A physical storage device</t>
  </si>
  <si>
    <t xml:space="preserve">A network routing protocol</t>
  </si>
  <si>
    <t xml:space="preserve">A model trained on vast text data that can understand and generate human-like language</t>
  </si>
  <si>
    <t xml:space="preserve">In the context of GenAI, what is an 'AI agent'?</t>
  </si>
  <si>
    <t xml:space="preserve">A static text document</t>
  </si>
  <si>
    <t xml:space="preserve">A single fixed SQL query</t>
  </si>
  <si>
    <t xml:space="preserve">A system that can reason, plan, and use tools/actions to accomplish goals, often iterating over multiple steps</t>
  </si>
  <si>
    <t xml:space="preserve">A human customer-support representative</t>
  </si>
  <si>
    <t xml:space="preserve">What does 'hallucination' mean in the context of LLMs?</t>
  </si>
  <si>
    <t xml:space="preserve">The model translates languages</t>
  </si>
  <si>
    <t xml:space="preserve">The model refuses to answer</t>
  </si>
  <si>
    <t xml:space="preserve">The model runs out of memory</t>
  </si>
  <si>
    <t xml:space="preserve">The model generates plausible-sounding but incorrect or fabricated information</t>
  </si>
  <si>
    <t xml:space="preserve">What is an 'embedding' in generative AI applications?</t>
  </si>
  <si>
    <t xml:space="preserve">A numerical vector representation of text or data that captures semantic meaning</t>
  </si>
  <si>
    <t xml:space="preserve">A way to compress video files</t>
  </si>
  <si>
    <t xml:space="preserve">A user authentication token</t>
  </si>
  <si>
    <t xml:space="preserve">A method for embedding logos into documents</t>
  </si>
  <si>
    <t xml:space="preserve">An enterprise wants an agentic workflow where an LLM autonomously calls internal tools/APIs to complete tasks. What is a critical design safeguard?</t>
  </si>
  <si>
    <t xml:space="preserve">Let the agent write directly to production databases without checks</t>
  </si>
  <si>
    <t xml:space="preserve">Remove all logging to improve speed</t>
  </si>
  <si>
    <t xml:space="preserve">Give the agent unrestricted access to all systems for flexibility</t>
  </si>
  <si>
    <t xml:space="preserve">Constrain the agent to governed, permissioned tools with validation, require confirmation for high-impact actions, and log every step for auditability and control</t>
  </si>
  <si>
    <t xml:space="preserve">Prompt Engineering</t>
  </si>
  <si>
    <t xml:space="preserve">What is a 'prompt' in generative AI?</t>
  </si>
  <si>
    <t xml:space="preserve">The input text or instruction given to an AI model to guide its response</t>
  </si>
  <si>
    <t xml:space="preserve">A model configuration file</t>
  </si>
  <si>
    <t xml:space="preserve">An error message from the server</t>
  </si>
  <si>
    <t xml:space="preserve">A scheduled system reminder</t>
  </si>
  <si>
    <t xml:space="preserve">What is 'few-shot prompting'?</t>
  </si>
  <si>
    <t xml:space="preserve">Sending an empty prompt</t>
  </si>
  <si>
    <t xml:space="preserve">Providing a few examples of the desired input-output behavior in the prompt to guide the model</t>
  </si>
  <si>
    <t xml:space="preserve">Disabling the model's reasoning</t>
  </si>
  <si>
    <t xml:space="preserve">Fine-tuning the model on millions of records</t>
  </si>
  <si>
    <t xml:space="preserve">Why does giving an LLM a clear role, explicit constraints, and desired output format usually improve results?</t>
  </si>
  <si>
    <t xml:space="preserve">It only affects response speed, not quality</t>
  </si>
  <si>
    <t xml:space="preserve">It reduces the model's vocabulary permanently</t>
  </si>
  <si>
    <t xml:space="preserve">It guarantees the model will never make mistakes</t>
  </si>
  <si>
    <t xml:space="preserve">Specific instructions reduce ambiguity, steering the model toward the intended task, tone, and structure</t>
  </si>
  <si>
    <t xml:space="preserve">A reasoning-heavy task yields wrong final answers, but asking the model to 'think step by step' improves accuracy. What technique is this and why does it help?</t>
  </si>
  <si>
    <t xml:space="preserve">Data masking; it hides the question</t>
  </si>
  <si>
    <t xml:space="preserve">Chain-of-thought prompting; eliciting intermediate reasoning steps helps the model decompose the problem before committing to a final answer</t>
  </si>
  <si>
    <t xml:space="preserve">Zero-shot classification; it compresses the prompt</t>
  </si>
  <si>
    <t xml:space="preserve">Temperature scaling; it removes reasoning</t>
  </si>
  <si>
    <t xml:space="preserve">A production prompt works in testing but breaks when users paste arbitrary text that overrides its instructions. What is this risk and a sound mitigation?</t>
  </si>
  <si>
    <t xml:space="preserve">Prompt injection; mitigate by separating trusted instructions from untrusted user input, validating/sanitizing inputs, and enforcing access controls outside the prompt rather than relying on instructions alone</t>
  </si>
  <si>
    <t xml:space="preserve">It is a font-rendering bug; change the CSS</t>
  </si>
  <si>
    <t xml:space="preserve">It is a hardware fault; add more RAM</t>
  </si>
  <si>
    <t xml:space="preserve">It is impossible; LLMs ignore user text</t>
  </si>
  <si>
    <t xml:space="preserve">GenAI Tools</t>
  </si>
  <si>
    <t xml:space="preserve">Which of the following is a well-known text-based generative AI assistant?</t>
  </si>
  <si>
    <t xml:space="preserve">WinRAR</t>
  </si>
  <si>
    <t xml:space="preserve">MySQL Workbench</t>
  </si>
  <si>
    <t xml:space="preserve">Adobe Reader</t>
  </si>
  <si>
    <t xml:space="preserve">ChatGPT</t>
  </si>
  <si>
    <t xml:space="preserve">DALL·E is primarily known for which capability?</t>
  </si>
  <si>
    <t xml:space="preserve">Compiling C++ code</t>
  </si>
  <si>
    <t xml:space="preserve">Running SQL queries</t>
  </si>
  <si>
    <t xml:space="preserve">Generating images from text prompts</t>
  </si>
  <si>
    <t xml:space="preserve">Managing cloud storage buckets</t>
  </si>
  <si>
    <t xml:space="preserve">Anthropic's Claude and Mistral's models are examples of what?</t>
  </si>
  <si>
    <t xml:space="preserve">Foundation/large language models offered by different AI providers</t>
  </si>
  <si>
    <t xml:space="preserve">Relational databases</t>
  </si>
  <si>
    <t xml:space="preserve">Spreadsheet applications</t>
  </si>
  <si>
    <t xml:space="preserve">Operating systems</t>
  </si>
  <si>
    <t xml:space="preserve">When selecting among GenAI tools/models for an enterprise workload, which combination of factors is most appropriate to weigh?</t>
  </si>
  <si>
    <t xml:space="preserve">Solely the largest model regardless of cost or privacy</t>
  </si>
  <si>
    <t xml:space="preserve">Task fit and quality, context window, cost/latency, data privacy and governance terms, and integration/deployment options</t>
  </si>
  <si>
    <t xml:space="preserve">The color of the tool's logo</t>
  </si>
  <si>
    <t xml:space="preserve">Only the model's brand name</t>
  </si>
  <si>
    <t xml:space="preserve">Retrieval Augmented Generation (RAG)</t>
  </si>
  <si>
    <t xml:space="preserve">What does RAG (Retrieval Augmented Generation) do?</t>
  </si>
  <si>
    <t xml:space="preserve">Retrieves relevant external/enterprise information and supplies it to the LLM as context to generate grounded answers</t>
  </si>
  <si>
    <t xml:space="preserve">Only works with images</t>
  </si>
  <si>
    <t xml:space="preserve">Retrains the LLM from scratch on every query</t>
  </si>
  <si>
    <t xml:space="preserve">Deletes the knowledge base before answering</t>
  </si>
  <si>
    <t xml:space="preserve">What is the role of a vector store in a RAG pipeline?</t>
  </si>
  <si>
    <t xml:space="preserve">To compile the application code</t>
  </si>
  <si>
    <t xml:space="preserve">To render the user interface</t>
  </si>
  <si>
    <t xml:space="preserve">To store user passwords</t>
  </si>
  <si>
    <t xml:space="preserve">To store embeddings and enable fast similarity search to retrieve semantically relevant chunks</t>
  </si>
  <si>
    <t xml:space="preserve">Why is RAG often preferred over fine-tuning for frequently changing knowledge?</t>
  </si>
  <si>
    <t xml:space="preserve">RAG bakes the knowledge permanently into the weights</t>
  </si>
  <si>
    <t xml:space="preserve">Fine-tuning updates instantly whenever a document changes</t>
  </si>
  <si>
    <t xml:space="preserve">RAG requires no data at all</t>
  </si>
  <si>
    <t xml:space="preserve">RAG lets you update the knowledge base without retraining the model, suiting information that changes often</t>
  </si>
  <si>
    <t xml:space="preserve">What does 'semantic similarity' measure when retrieving chunks in RAG?</t>
  </si>
  <si>
    <t xml:space="preserve">The order documents were uploaded</t>
  </si>
  <si>
    <t xml:space="preserve">The exact number of matching characters</t>
  </si>
  <si>
    <t xml:space="preserve">How close two pieces of content are in meaning, computed as distance between their vector embeddings</t>
  </si>
  <si>
    <t xml:space="preserve">The file size difference between documents</t>
  </si>
  <si>
    <t xml:space="preserve">A RAG assistant retrieves the right documents but its answers subtly contradict the sources. What layered mitigation improves faithfulness?</t>
  </si>
  <si>
    <t xml:space="preserve">Remove retrieval and rely on the base model</t>
  </si>
  <si>
    <t xml:space="preserve">Shorten every document to one sentence</t>
  </si>
  <si>
    <t xml:space="preserve">Instruct the model to answer only from provided context, add a grounding/faithfulness check against retrieved passages, require inline citations, and suppress answers not traceable to evidence</t>
  </si>
  <si>
    <t xml:space="preserve">Raise temperature so the model is more confident</t>
  </si>
  <si>
    <t xml:space="preserve">In a RAG system, retrieval quality is poor because chunks are either too large (diluted) or too small (fragmented). What is the sound engineering approach?</t>
  </si>
  <si>
    <t xml:space="preserve">Tune chunk size (and overlap) to the document type and query patterns—balancing enough context per chunk for meaning against small enough chunks for precise retrieval—and evaluate with a representative test set</t>
  </si>
  <si>
    <t xml:space="preserve">Always use the entire document as a single chunk</t>
  </si>
  <si>
    <t xml:space="preserve">Always use one-word chunks</t>
  </si>
  <si>
    <t xml:space="preserve">Chunk size never affects retrieval quality</t>
  </si>
  <si>
    <t xml:space="preserve">App Interfaces &amp; APIs</t>
  </si>
  <si>
    <t xml:space="preserve">What is Streamlit primarily used for?</t>
  </si>
  <si>
    <t xml:space="preserve">Rapidly building interactive data/ML web apps and dashboards in Python with minimal front-end code</t>
  </si>
  <si>
    <t xml:space="preserve">Compiling low-level C programs</t>
  </si>
  <si>
    <t xml:space="preserve">Encrypting network traffic</t>
  </si>
  <si>
    <t xml:space="preserve">Managing relational database transactions</t>
  </si>
  <si>
    <t xml:space="preserve">A team exposes a Python ML model to other services and needs a high-performance, well-documented HTTP API with request validation. Why is FastAPI a strong fit?</t>
  </si>
  <si>
    <t xml:space="preserve">Because it is a database engine</t>
  </si>
  <si>
    <t xml:space="preserve">Because it only serves static HTML</t>
  </si>
  <si>
    <t xml:space="preserve">FastAPI provides async support, automatic data validation via type hints/Pydantic, and auto-generated interactive API docs (OpenAPI/Swagger), making robust APIs quick to build</t>
  </si>
  <si>
    <t xml:space="preserve">Because it prevents any API documentation</t>
  </si>
  <si>
    <t xml:space="preserve">When would you choose FastAPI over Streamlit for delivering a GenAI feature?</t>
  </si>
  <si>
    <t xml:space="preserve">They are identical and interchangeable in every scenario</t>
  </si>
  <si>
    <t xml:space="preserve">Always use Streamlit because APIs are unnecessary</t>
  </si>
  <si>
    <t xml:space="preserve">FastAPI is only for building spreadsheets</t>
  </si>
  <si>
    <t xml:space="preserve">Use FastAPI when you need a programmatic backend/API for other apps or scalable services, and Streamlit when you need a quick interactive UI for humans; they solve different layers and are often combined</t>
  </si>
  <si>
    <t xml:space="preserve">What is a defining benefit of cloud computing's pay-as-you-go pricing?</t>
  </si>
  <si>
    <t xml:space="preserve">Only free resources are available</t>
  </si>
  <si>
    <t xml:space="preserve">You must pre-purchase 10 years of capacity</t>
  </si>
  <si>
    <t xml:space="preserve">Pricing is fixed regardless of usage</t>
  </si>
  <si>
    <t xml:space="preserve">You pay only for the resources you actually consume</t>
  </si>
  <si>
    <t xml:space="preserve">What is a 'region' in a cloud provider's infrastructure?</t>
  </si>
  <si>
    <t xml:space="preserve">A type of virtual machine</t>
  </si>
  <si>
    <t xml:space="preserve">A single physical server</t>
  </si>
  <si>
    <t xml:space="preserve">A billing invoice</t>
  </si>
  <si>
    <t xml:space="preserve">A geographic area containing one or more data centers</t>
  </si>
  <si>
    <t xml:space="preserve">Which of these is an example of Infrastructure as a Service (IaaS)?</t>
  </si>
  <si>
    <t xml:space="preserve">A managed no-code app builder</t>
  </si>
  <si>
    <t xml:space="preserve">A ready-to-use email application</t>
  </si>
  <si>
    <t xml:space="preserve">Renting virtual machines and storage that you configure yourself</t>
  </si>
  <si>
    <t xml:space="preserve">A finished CRM website</t>
  </si>
  <si>
    <t xml:space="preserve">What does 'scalability' mean for a cloud application?</t>
  </si>
  <si>
    <t xml:space="preserve">A fixed number of users forever</t>
  </si>
  <si>
    <t xml:space="preserve">Automatic deletion of data</t>
  </si>
  <si>
    <t xml:space="preserve">The inability to grow beyond one server</t>
  </si>
  <si>
    <t xml:space="preserve">The ability to handle increased load by adding resources</t>
  </si>
  <si>
    <t xml:space="preserve">What is the difference between vertical scaling and horizontal scaling?</t>
  </si>
  <si>
    <t xml:space="preserve">Vertical scaling adds more power (CPU/RAM) to an existing machine; horizontal scaling adds more machines</t>
  </si>
  <si>
    <t xml:space="preserve">Horizontal scaling always reduces cost to zero</t>
  </si>
  <si>
    <t xml:space="preserve">Vertical scaling only works on databases</t>
  </si>
  <si>
    <t xml:space="preserve">They are the same thing</t>
  </si>
  <si>
    <t xml:space="preserve">What is a private cloud?</t>
  </si>
  <si>
    <t xml:space="preserve">A social network</t>
  </si>
  <si>
    <t xml:space="preserve">A public website open to everyone</t>
  </si>
  <si>
    <t xml:space="preserve">A type of encryption algorithm</t>
  </si>
  <si>
    <t xml:space="preserve">Cloud infrastructure dedicated to and controlled by a single organization</t>
  </si>
  <si>
    <t xml:space="preserve">What is the primary purpose of a Content Delivery Network (CDN)?</t>
  </si>
  <si>
    <t xml:space="preserve">To cache and serve content from edge locations close to users, reducing latency</t>
  </si>
  <si>
    <t xml:space="preserve">To compile source code</t>
  </si>
  <si>
    <t xml:space="preserve">To store passwords</t>
  </si>
  <si>
    <t xml:space="preserve">To replace the database</t>
  </si>
  <si>
    <t xml:space="preserve">In cloud computing, what does 'high availability' aim to achieve?</t>
  </si>
  <si>
    <t xml:space="preserve">Guaranteeing zero cost</t>
  </si>
  <si>
    <t xml:space="preserve">Storing all data on one disk</t>
  </si>
  <si>
    <t xml:space="preserve">Preventing any users from connecting</t>
  </si>
  <si>
    <t xml:space="preserve">Minimizing downtime so services remain accessible despite failures</t>
  </si>
  <si>
    <t xml:space="preserve">What is 'multi-tenancy' in a SaaS platform?</t>
  </si>
  <si>
    <t xml:space="preserve">A single software instance serves multiple customers while isolating their data logically</t>
  </si>
  <si>
    <t xml:space="preserve">Tenants must share their data publicly</t>
  </si>
  <si>
    <t xml:space="preserve">Only one customer can use the app at a time</t>
  </si>
  <si>
    <t xml:space="preserve">Each customer gets a separate physical building</t>
  </si>
  <si>
    <t xml:space="preserve">A company must design for disaster recovery with a very low Recovery Time Objective (RTO). Which strategy best fits?</t>
  </si>
  <si>
    <t xml:space="preserve">Take a monthly backup and restore manually when needed</t>
  </si>
  <si>
    <t xml:space="preserve">Rely on employee laptops as the only backup</t>
  </si>
  <si>
    <t xml:space="preserve">Maintain a warm or hot standby in a second region with automated failover so services resume quickly</t>
  </si>
  <si>
    <t xml:space="preserve">Disable backups to save storage</t>
  </si>
  <si>
    <t xml:space="preserve">Why might an organization choose object storage over block storage for a data lake?</t>
  </si>
  <si>
    <t xml:space="preserve">Object storage scales massively, is cost-effective for unstructured data, and is accessed via APIs—ideal for large analytics datasets</t>
  </si>
  <si>
    <t xml:space="preserve">Object storage guarantees SQL transactions</t>
  </si>
  <si>
    <t xml:space="preserve">Block storage cannot store any files</t>
  </si>
  <si>
    <t xml:space="preserve">Object storage is limited to a few megabytes</t>
  </si>
  <si>
    <t xml:space="preserve">A microservices app suffers cascading failures when one downstream service slows down. Which cloud-native resilience pattern helps most?</t>
  </si>
  <si>
    <t xml:space="preserve">Scale down to a single instance</t>
  </si>
  <si>
    <t xml:space="preserve">Route all traffic to the failing service</t>
  </si>
  <si>
    <t xml:space="preserve">Remove all monitoring</t>
  </si>
  <si>
    <t xml:space="preserve">Apply circuit breakers, timeouts, and bulkheads to isolate failures and prevent one slow service from exhausting resources everywhere</t>
  </si>
  <si>
    <t xml:space="preserve">Which SQL statement adds new rows to a table?</t>
  </si>
  <si>
    <t xml:space="preserve">ALTER</t>
  </si>
  <si>
    <t xml:space="preserve">DROP</t>
  </si>
  <si>
    <t xml:space="preserve">Which SQL statement removes rows from a table?</t>
  </si>
  <si>
    <t xml:space="preserve">CREATE</t>
  </si>
  <si>
    <t xml:space="preserve">INDEX</t>
  </si>
  <si>
    <t xml:space="preserve">What does the DISTINCT keyword do in a SELECT query?</t>
  </si>
  <si>
    <t xml:space="preserve">Joins two tables</t>
  </si>
  <si>
    <t xml:space="preserve">Returns only unique (non-duplicate) values</t>
  </si>
  <si>
    <t xml:space="preserve">Sorts rows alphabetically</t>
  </si>
  <si>
    <t xml:space="preserve">Which clause sorts the result set of a query?</t>
  </si>
  <si>
    <t xml:space="preserve">In MySQL, which data type is best suited for storing whole numbers?</t>
  </si>
  <si>
    <t xml:space="preserve">VARCHAR</t>
  </si>
  <si>
    <t xml:space="preserve">INT</t>
  </si>
  <si>
    <t xml:space="preserve">BLOB</t>
  </si>
  <si>
    <t xml:space="preserve">DATE</t>
  </si>
  <si>
    <t xml:space="preserve">What does a 'row' (record) represent in a relational table?</t>
  </si>
  <si>
    <t xml:space="preserve">The name of the database</t>
  </si>
  <si>
    <t xml:space="preserve">A single column definition</t>
  </si>
  <si>
    <t xml:space="preserve">A single entity/instance with values for each column</t>
  </si>
  <si>
    <t xml:space="preserve">An index file</t>
  </si>
  <si>
    <t xml:space="preserve">What is the purpose of a UNIQUE constraint?</t>
  </si>
  <si>
    <t xml:space="preserve">To ensure all values in a column (or set) are distinct</t>
  </si>
  <si>
    <t xml:space="preserve">To allow unlimited duplicate values</t>
  </si>
  <si>
    <t xml:space="preserve">To encrypt the column</t>
  </si>
  <si>
    <t xml:space="preserve">To delete null values</t>
  </si>
  <si>
    <t xml:space="preserve">What does a LEFT JOIN return?</t>
  </si>
  <si>
    <t xml:space="preserve">All rows from the left table plus matching rows from the right (nulls where no match)</t>
  </si>
  <si>
    <t xml:space="preserve">Only matching rows in both tables</t>
  </si>
  <si>
    <t xml:space="preserve">No rows at all</t>
  </si>
  <si>
    <t xml:space="preserve">Only rows from the right table</t>
  </si>
  <si>
    <t xml:space="preserve">What is a subquery?</t>
  </si>
  <si>
    <t xml:space="preserve">A user permission</t>
  </si>
  <si>
    <t xml:space="preserve">A backup of the database</t>
  </si>
  <si>
    <t xml:space="preserve">A query nested inside another query</t>
  </si>
  <si>
    <t xml:space="preserve">A type of index</t>
  </si>
  <si>
    <t xml:space="preserve">What does the ACID acronym describe in databases?</t>
  </si>
  <si>
    <t xml:space="preserve">A programming language</t>
  </si>
  <si>
    <t xml:space="preserve">A type of storage disk</t>
  </si>
  <si>
    <t xml:space="preserve">A query optimization tool</t>
  </si>
  <si>
    <t xml:space="preserve">Atomicity, Consistency, Isolation, Durability—properties guaranteeing reliable transactions</t>
  </si>
  <si>
    <t xml:space="preserve">What is the difference between DELETE and TRUNCATE?</t>
  </si>
  <si>
    <t xml:space="preserve">DELETE drops the whole table</t>
  </si>
  <si>
    <t xml:space="preserve">They are identical</t>
  </si>
  <si>
    <t xml:space="preserve">DELETE removes rows (optionally filtered) and is logged/rollback-able; TRUNCATE quickly removes all rows and resets the table with minimal logging</t>
  </si>
  <si>
    <t xml:space="preserve">TRUNCATE only deletes one row</t>
  </si>
  <si>
    <t xml:space="preserve">What does an index primarily improve?</t>
  </si>
  <si>
    <t xml:space="preserve">The speed of data retrieval on indexed columns</t>
  </si>
  <si>
    <t xml:space="preserve">The size of the disk to zero</t>
  </si>
  <si>
    <t xml:space="preserve">The number of tables</t>
  </si>
  <si>
    <t xml:space="preserve">The color of the output</t>
  </si>
  <si>
    <t xml:space="preserve">What is a composite key?</t>
  </si>
  <si>
    <t xml:space="preserve">A key that is always encrypted</t>
  </si>
  <si>
    <t xml:space="preserve">A key made of two or more columns that together uniquely identify a row</t>
  </si>
  <si>
    <t xml:space="preserve">A duplicate primary key</t>
  </si>
  <si>
    <t xml:space="preserve">A foreign key to itself</t>
  </si>
  <si>
    <t xml:space="preserve">What does the SQL keyword LIKE with a wildcard '%' do?</t>
  </si>
  <si>
    <t xml:space="preserve">Deletes matching rows</t>
  </si>
  <si>
    <t xml:space="preserve">Creates an index</t>
  </si>
  <si>
    <t xml:space="preserve">Matches a pattern in text (e.g., 'A%' matches strings starting with A)</t>
  </si>
  <si>
    <t xml:space="preserve">Performs an exact numeric match</t>
  </si>
  <si>
    <t xml:space="preserve">What is a VIEW in SQL?</t>
  </si>
  <si>
    <t xml:space="preserve">A user login screen</t>
  </si>
  <si>
    <t xml:space="preserve">A physical copy of a table on disk</t>
  </si>
  <si>
    <t xml:space="preserve">A stored, named query that presents data like a virtual table</t>
  </si>
  <si>
    <t xml:space="preserve">A backup file</t>
  </si>
  <si>
    <t xml:space="preserve">A report needs a running total of sales ordered by date. Which SQL feature is most appropriate?</t>
  </si>
  <si>
    <t xml:space="preserve">A simple GROUP BY with no ordering</t>
  </si>
  <si>
    <t xml:space="preserve">A window function such as SUM(sales) OVER (ORDER BY date)</t>
  </si>
  <si>
    <t xml:space="preserve">A foreign key constraint</t>
  </si>
  <si>
    <t xml:space="preserve">Deleting older rows</t>
  </si>
  <si>
    <t xml:space="preserve">Third Normal Form (3NF) requires eliminating which dependency?</t>
  </si>
  <si>
    <t xml:space="preserve">Transitive dependencies—non-key attributes must depend only on the primary key, not on other non-key attributes</t>
  </si>
  <si>
    <t xml:space="preserve">All relationships between tables</t>
  </si>
  <si>
    <t xml:space="preserve">Every primary key</t>
  </si>
  <si>
    <t xml:space="preserve">All numeric columns</t>
  </si>
  <si>
    <t xml:space="preserve">A query uses a function on an indexed column in the WHERE clause (e.g., WHERE YEAR(order_date)=2025) and ignores the index. Why, and what is the fix?</t>
  </si>
  <si>
    <t xml:space="preserve">MySQL does not support indexes on dates</t>
  </si>
  <si>
    <t xml:space="preserve">The fix is to remove the WHERE clause</t>
  </si>
  <si>
    <t xml:space="preserve">Indexes never work with dates</t>
  </si>
  <si>
    <t xml:space="preserve">Wrapping the column in a function makes it non-sargable, so the index can't be used; rewrite as a range (order_date &gt;= '2025-01-01' AND &lt; '2026-01-01') to keep it sargable</t>
  </si>
  <si>
    <t xml:space="preserve">What is a deadlock in a relational database and a common mitigation?</t>
  </si>
  <si>
    <t xml:space="preserve">A syntax error in SELECT</t>
  </si>
  <si>
    <t xml:space="preserve">A missing primary key</t>
  </si>
  <si>
    <t xml:space="preserve">A permanent hardware failure</t>
  </si>
  <si>
    <t xml:space="preserve">Two transactions each hold a lock the other needs, blocking both; mitigate by accessing resources in a consistent order, keeping transactions short, and handling deadlock retries</t>
  </si>
  <si>
    <t xml:space="preserve">When would a covering index significantly speed up a query?</t>
  </si>
  <si>
    <t xml:space="preserve">Only for INSERT statements</t>
  </si>
  <si>
    <t xml:space="preserve">When the index contains all columns the query needs, so the engine answers it from the index without reading the table rows</t>
  </si>
  <si>
    <t xml:space="preserve">Indexes never help SELECT queries</t>
  </si>
  <si>
    <t xml:space="preserve">When the query returns SELECT *</t>
  </si>
  <si>
    <t xml:space="preserve">A star-schema data warehouse separates data into fact and dimension tables. What is the main benefit for analytics?</t>
  </si>
  <si>
    <t xml:space="preserve">It removes the need for indexes</t>
  </si>
  <si>
    <t xml:space="preserve">It organizes measurable events (facts) around descriptive context (dimensions), enabling efficient, intuitive analytical queries and aggregations</t>
  </si>
  <si>
    <t xml:space="preserve">It stores only one row</t>
  </si>
  <si>
    <t xml:space="preserve">It prevents all joins</t>
  </si>
  <si>
    <t xml:space="preserve">Which Python data structure stores unique, unordered items?</t>
  </si>
  <si>
    <t xml:space="preserve">str</t>
  </si>
  <si>
    <t xml:space="preserve">set</t>
  </si>
  <si>
    <t xml:space="preserve">Which symbol starts a single-line comment in Python?</t>
  </si>
  <si>
    <t xml:space="preserve">//</t>
  </si>
  <si>
    <t xml:space="preserve">--</t>
  </si>
  <si>
    <t xml:space="preserve">/*</t>
  </si>
  <si>
    <t xml:space="preserve">#</t>
  </si>
  <si>
    <t xml:space="preserve">What does the len() function return?</t>
  </si>
  <si>
    <t xml:space="preserve">The largest value</t>
  </si>
  <si>
    <t xml:space="preserve">The number of items in an object (e.g., list length)</t>
  </si>
  <si>
    <t xml:space="preserve">A random number</t>
  </si>
  <si>
    <t xml:space="preserve">The sum of items</t>
  </si>
  <si>
    <t xml:space="preserve">How do you create a tuple in Python?</t>
  </si>
  <si>
    <t xml:space="preserve">Using square brackets [ ]</t>
  </si>
  <si>
    <t xml:space="preserve">Using parentheses ( ) with comma-separated values</t>
  </si>
  <si>
    <t xml:space="preserve">Using angle brackets &lt; &gt;</t>
  </si>
  <si>
    <t xml:space="preserve">Using curly braces { }</t>
  </si>
  <si>
    <t xml:space="preserve">Which loop repeats a block while a condition is true?</t>
  </si>
  <si>
    <t xml:space="preserve">switch</t>
  </si>
  <si>
    <t xml:space="preserve">for-only</t>
  </si>
  <si>
    <t xml:space="preserve">goto</t>
  </si>
  <si>
    <t xml:space="preserve">while</t>
  </si>
  <si>
    <t xml:space="preserve">What does the import statement do?</t>
  </si>
  <si>
    <t xml:space="preserve">Loads a module/library so its functions can be used</t>
  </si>
  <si>
    <t xml:space="preserve">Prints text</t>
  </si>
  <si>
    <t xml:space="preserve">Deletes a module</t>
  </si>
  <si>
    <t xml:space="preserve">Defines a class</t>
  </si>
  <si>
    <t xml:space="preserve">In pandas, what is a DataFrame?</t>
  </si>
  <si>
    <t xml:space="preserve">A network socket</t>
  </si>
  <si>
    <t xml:space="preserve">A plotting window</t>
  </si>
  <si>
    <t xml:space="preserve">A single number</t>
  </si>
  <si>
    <t xml:space="preserve">A 2D labeled tabular data structure with rows and columns</t>
  </si>
  <si>
    <t xml:space="preserve">Which method reads a CSV file into a pandas DataFrame?</t>
  </si>
  <si>
    <t xml:space="preserve">pd.open_file()</t>
  </si>
  <si>
    <t xml:space="preserve">pd.read_csv()</t>
  </si>
  <si>
    <t xml:space="preserve">pd.get_csv()</t>
  </si>
  <si>
    <t xml:space="preserve">pd.load_table()</t>
  </si>
  <si>
    <t xml:space="preserve">What does list comprehension provide in Python?</t>
  </si>
  <si>
    <t xml:space="preserve">A type of exception</t>
  </si>
  <si>
    <t xml:space="preserve">A way to connect to databases</t>
  </si>
  <si>
    <t xml:space="preserve">A method to delete files</t>
  </si>
  <si>
    <t xml:space="preserve">A concise way to build a list from an iterable with optional filtering</t>
  </si>
  <si>
    <t xml:space="preserve">What is the difference between a list and a tuple?</t>
  </si>
  <si>
    <t xml:space="preserve">Lists are mutable; tuples are immutable</t>
  </si>
  <si>
    <t xml:space="preserve">Tuples can grow but lists cannot</t>
  </si>
  <si>
    <t xml:space="preserve">Lists can only hold strings</t>
  </si>
  <si>
    <t xml:space="preserve">They are exactly the same</t>
  </si>
  <si>
    <t xml:space="preserve">In pandas, what does df.loc[] vs df.iloc[] differ by?</t>
  </si>
  <si>
    <t xml:space="preserve">loc deletes rows</t>
  </si>
  <si>
    <t xml:space="preserve">loc selects by label/boolean; iloc selects by integer position</t>
  </si>
  <si>
    <t xml:space="preserve">iloc only works on strings</t>
  </si>
  <si>
    <t xml:space="preserve">What does a Python virtual environment (venv) provide?</t>
  </si>
  <si>
    <t xml:space="preserve">An isolated set of installed packages for a project, avoiding dependency conflicts</t>
  </si>
  <si>
    <t xml:space="preserve">A cloud database</t>
  </si>
  <si>
    <t xml:space="preserve">A GUI framework</t>
  </si>
  <si>
    <t xml:space="preserve">A faster CPU</t>
  </si>
  <si>
    <t xml:space="preserve">What does the try/except block handle?</t>
  </si>
  <si>
    <t xml:space="preserve">Faster loops</t>
  </si>
  <si>
    <t xml:space="preserve">Exceptions/errors, allowing graceful handling instead of crashing</t>
  </si>
  <si>
    <t xml:space="preserve">Variable naming</t>
  </si>
  <si>
    <t xml:space="preserve">Importing modules</t>
  </si>
  <si>
    <t xml:space="preserve">In pandas, what does df.merge(other, how='left', on='id') produce?</t>
  </si>
  <si>
    <t xml:space="preserve">A pivot table</t>
  </si>
  <si>
    <t xml:space="preserve">A left join keeping all rows of df and matching rows of other on 'id'</t>
  </si>
  <si>
    <t xml:space="preserve">An inner join only</t>
  </si>
  <si>
    <t xml:space="preserve">A deletion of df</t>
  </si>
  <si>
    <t xml:space="preserve">What is the purpose of the pandas method df.pivot_table()?</t>
  </si>
  <si>
    <t xml:space="preserve">To compile code</t>
  </si>
  <si>
    <t xml:space="preserve">To summarize/aggregate data across dimensions, similar to a spreadsheet pivot</t>
  </si>
  <si>
    <t xml:space="preserve">To open a socket</t>
  </si>
  <si>
    <t xml:space="preserve">To rename the file</t>
  </si>
  <si>
    <t xml:space="preserve">What is the difference between '==' and 'is' in Python?</t>
  </si>
  <si>
    <t xml:space="preserve">'==' checks memory address</t>
  </si>
  <si>
    <t xml:space="preserve">'==' compares values; 'is' checks whether two references point to the same object</t>
  </si>
  <si>
    <t xml:space="preserve">'is' compares values only</t>
  </si>
  <si>
    <t xml:space="preserve">What is a lambda function?</t>
  </si>
  <si>
    <t xml:space="preserve">A database cursor</t>
  </si>
  <si>
    <t xml:space="preserve">A small anonymous function defined inline</t>
  </si>
  <si>
    <t xml:space="preserve">A file handler</t>
  </si>
  <si>
    <t xml:space="preserve">A class definition</t>
  </si>
  <si>
    <t xml:space="preserve">Which format is commonly used for columnar, compressed storage in data engineering?</t>
  </si>
  <si>
    <t xml:space="preserve">BMP</t>
  </si>
  <si>
    <t xml:space="preserve">Parquet</t>
  </si>
  <si>
    <t xml:space="preserve">MP3</t>
  </si>
  <si>
    <t xml:space="preserve">DOCX</t>
  </si>
  <si>
    <t xml:space="preserve">Chained indexing like df[df.a&gt;0]['b']=1 raises a SettingWithCopyWarning. Why, and what is the correct approach?</t>
  </si>
  <si>
    <t xml:space="preserve">The warning means the file is corrupt</t>
  </si>
  <si>
    <t xml:space="preserve">Chained indexing always errors and stops execution</t>
  </si>
  <si>
    <t xml:space="preserve">There is no correct approach; pandas cannot assign values</t>
  </si>
  <si>
    <t xml:space="preserve">It may operate on a temporary copy so the assignment might not stick; use df.loc[df.a&gt;0,'b']=1 for a single, well-defined assignment</t>
  </si>
  <si>
    <t xml:space="preserve">A default mutable argument like def f(x, acc=[]) accumulates values across calls unexpectedly. Why?</t>
  </si>
  <si>
    <t xml:space="preserve">It is a bug only in old Python 2</t>
  </si>
  <si>
    <t xml:space="preserve">Default arguments are evaluated once at function definition, so the same list is reused; use acc=None and create a new list inside the function</t>
  </si>
  <si>
    <t xml:space="preserve">Python creates a new list every call automatically</t>
  </si>
  <si>
    <t xml:space="preserve">Lists cannot be default arguments</t>
  </si>
  <si>
    <t xml:space="preserve">Why can floating-point sums like 0.1+0.2 not equal exactly 0.3, and how should equality be handled?</t>
  </si>
  <si>
    <t xml:space="preserve">Binary floating point cannot represent some decimals exactly; compare with a tolerance (e.g., math.isclose) or use the decimal module for exact arithmetic</t>
  </si>
  <si>
    <t xml:space="preserve">Floats always equal their decimal literal</t>
  </si>
  <si>
    <t xml:space="preserve">Because integers overflow</t>
  </si>
  <si>
    <t xml:space="preserve">Because Python is broken</t>
  </si>
  <si>
    <t xml:space="preserve">For a CPU-bound data transformation, why might Python threads not speed it up, and what helps?</t>
  </si>
  <si>
    <t xml:space="preserve">Only I/O-bound tasks are slowed by threads</t>
  </si>
  <si>
    <t xml:space="preserve">The GIL serializes CPU-bound bytecode across threads; use multiprocessing (or vectorized/native libraries) to leverage multiple cores</t>
  </si>
  <si>
    <t xml:space="preserve">Threads always double CPU speed</t>
  </si>
  <si>
    <t xml:space="preserve">Python has no threads</t>
  </si>
  <si>
    <t xml:space="preserve">When processing a 100 GB file that won't fit in memory, which strategy is soundest?</t>
  </si>
  <si>
    <t xml:space="preserve">Load it all with pd.read_csv() at once</t>
  </si>
  <si>
    <t xml:space="preserve">Stream/iterate in chunks (or use out-of-core tools like Dask/PySpark, or columnar formats), processing incrementally</t>
  </si>
  <si>
    <t xml:space="preserve">Rename the file to reduce its size</t>
  </si>
  <si>
    <t xml:space="preserve">Convert it to a Python list first</t>
  </si>
  <si>
    <t xml:space="preserve">Why is using vectorized string operations (df['s'].str.lower()) preferred over a Python loop in pandas?</t>
  </si>
  <si>
    <t xml:space="preserve">Vectorization only works on integers</t>
  </si>
  <si>
    <t xml:space="preserve">They run optimized C-level operations across the whole Series, avoiding slow per-element Python overhead</t>
  </si>
  <si>
    <t xml:space="preserve">str methods encrypt the data</t>
  </si>
  <si>
    <t xml:space="preserve">Loops are impossible in Python</t>
  </si>
  <si>
    <t xml:space="preserve">In an ETL job, why is idempotency an important design property?</t>
  </si>
  <si>
    <t xml:space="preserve">It ensures rerunning the same job produces the same result without duplicating or corrupting data, enabling safe retries</t>
  </si>
  <si>
    <t xml:space="preserve">It makes the job run only once ever</t>
  </si>
  <si>
    <t xml:space="preserve">It doubles the output on each run</t>
  </si>
  <si>
    <t xml:space="preserve">It deletes the source data</t>
  </si>
  <si>
    <t xml:space="preserve">What problem does schema validation (e.g., with Pydantic or a schema check) solve in a data pipeline?</t>
  </si>
  <si>
    <t xml:space="preserve">It catches malformed or unexpected data early, enforcing types and structure before it corrupts downstream systems</t>
  </si>
  <si>
    <t xml:space="preserve">It speeds up the CPU</t>
  </si>
  <si>
    <t xml:space="preserve">It replaces the database</t>
  </si>
  <si>
    <t xml:space="preserve">It compresses files</t>
  </si>
  <si>
    <t xml:space="preserve">How does GitHub Copilot typically receive context to generate a suggestion?</t>
  </si>
  <si>
    <t xml:space="preserve">From the network cable length</t>
  </si>
  <si>
    <t xml:space="preserve">From the printer settings</t>
  </si>
  <si>
    <t xml:space="preserve">From the surrounding code and comments in the file the developer is editing</t>
  </si>
  <si>
    <t xml:space="preserve">From the monitor brightness</t>
  </si>
  <si>
    <t xml:space="preserve">Which of these is a valid way to prompt an AI coding assistant for a function?</t>
  </si>
  <si>
    <t xml:space="preserve">Turning off the computer</t>
  </si>
  <si>
    <t xml:space="preserve">Writing a descriptive comment or function signature describing the desired behavior</t>
  </si>
  <si>
    <t xml:space="preserve">Deleting the project</t>
  </si>
  <si>
    <t xml:space="preserve">Renaming the operating system</t>
  </si>
  <si>
    <t xml:space="preserve">What kind of tasks can Copilot-style assistants help with?</t>
  </si>
  <si>
    <t xml:space="preserve">Managing office lighting</t>
  </si>
  <si>
    <t xml:space="preserve">Physically repairing hardware</t>
  </si>
  <si>
    <t xml:space="preserve">Autocompleting code, generating tests, and explaining snippets</t>
  </si>
  <si>
    <t xml:space="preserve">Brewing coffee</t>
  </si>
  <si>
    <t xml:space="preserve">In Azure Data Factory, a Copilot-style assistant can help by:</t>
  </si>
  <si>
    <t xml:space="preserve">Printing invoices</t>
  </si>
  <si>
    <t xml:space="preserve">Suggesting or generating data pipeline steps and transformations from natural-language intent</t>
  </si>
  <si>
    <t xml:space="preserve">Formatting the hard drive</t>
  </si>
  <si>
    <t xml:space="preserve">Replacing the electricity supply</t>
  </si>
  <si>
    <t xml:space="preserve">What is a good practice when using Copilot for query generation against a specific schema?</t>
  </si>
  <si>
    <t xml:space="preserve">Provide schema context and clear intent, then verify the generated query against the actual tables</t>
  </si>
  <si>
    <t xml:space="preserve">Run it on production immediately</t>
  </si>
  <si>
    <t xml:space="preserve">Assume the schema without checking</t>
  </si>
  <si>
    <t xml:space="preserve">Never test the query</t>
  </si>
  <si>
    <t xml:space="preserve">How can Copilot help a data engineer write PySpark transformations faster?</t>
  </si>
  <si>
    <t xml:space="preserve">By deleting Spark</t>
  </si>
  <si>
    <t xml:space="preserve">By disabling the cluster</t>
  </si>
  <si>
    <t xml:space="preserve">By suggesting DataFrame transformation code from comments describing the desired output</t>
  </si>
  <si>
    <t xml:space="preserve">By converting Spark to a spreadsheet</t>
  </si>
  <si>
    <t xml:space="preserve">Why is context (open files, related code) important for Copilot's suggestion quality?</t>
  </si>
  <si>
    <t xml:space="preserve">Context slows the model to zero</t>
  </si>
  <si>
    <t xml:space="preserve">Only the file name matters</t>
  </si>
  <si>
    <t xml:space="preserve">More relevant context helps the model produce suggestions aligned with the existing code and intent</t>
  </si>
  <si>
    <t xml:space="preserve">Context is ignored entirely</t>
  </si>
  <si>
    <t xml:space="preserve">What is a limitation to keep in mind when Copilot generates code using external libraries?</t>
  </si>
  <si>
    <t xml:space="preserve">It may suggest outdated APIs or nonexistent functions, so the code must be verified against current library docs</t>
  </si>
  <si>
    <t xml:space="preserve">It never uses libraries</t>
  </si>
  <si>
    <t xml:space="preserve">It always uses the newest APIs perfectly</t>
  </si>
  <si>
    <t xml:space="preserve">Generated library calls are guaranteed correct</t>
  </si>
  <si>
    <t xml:space="preserve">How should sensitive secrets (API keys, passwords) be handled when using AI coding assistants?</t>
  </si>
  <si>
    <t xml:space="preserve">Store them in comments</t>
  </si>
  <si>
    <t xml:space="preserve">Email them to the model</t>
  </si>
  <si>
    <t xml:space="preserve">Paste them directly for convenience</t>
  </si>
  <si>
    <t xml:space="preserve">Never paste secrets into prompts; keep them in environment variables or secret managers, not in code or prompts</t>
  </si>
  <si>
    <t xml:space="preserve">An organization worries Copilot-generated code may resemble licensed source. What governance step is prudent?</t>
  </si>
  <si>
    <t xml:space="preserve">Ignore licensing entirely</t>
  </si>
  <si>
    <t xml:space="preserve">Establish code-provenance/IP policies, use available duplication-detection/filtering settings, and require review to ensure license compliance</t>
  </si>
  <si>
    <t xml:space="preserve">Disable version control</t>
  </si>
  <si>
    <t xml:space="preserve">Publish all code publicly to avoid issues</t>
  </si>
  <si>
    <t xml:space="preserve">A team adopts Copilot to speed ETL development but sees inconsistent code style and hidden bugs across the codebase. What is the best remedy?</t>
  </si>
  <si>
    <t xml:space="preserve">Let each developer accept all suggestions blindly</t>
  </si>
  <si>
    <t xml:space="preserve">Pair Copilot with linting, formatting standards, automated tests, and mandatory code review so AI accelerates work within guardrails</t>
  </si>
  <si>
    <t xml:space="preserve">Delete the tests</t>
  </si>
  <si>
    <t xml:space="preserve">Stop reviewing code to move faster</t>
  </si>
  <si>
    <t xml:space="preserve">Why is it risky to let an AI assistant auto-generate and directly run migration scripts on a production database?</t>
  </si>
  <si>
    <t xml:space="preserve">Migrations never affect data</t>
  </si>
  <si>
    <t xml:space="preserve">Production databases cannot run scripts</t>
  </si>
  <si>
    <t xml:space="preserve">Generated scripts may contain destructive or incorrect operations; they require review, testing on non-prod, backups, and controlled deployment before touching production</t>
  </si>
  <si>
    <t xml:space="preserve">AI-generated scripts are always safe</t>
  </si>
  <si>
    <t xml:space="preserve">What is 'artificial intelligence' broadly?</t>
  </si>
  <si>
    <t xml:space="preserve">A network cable standard</t>
  </si>
  <si>
    <t xml:space="preserve">The simulation of human-like intelligence by machines to perform tasks such as reasoning and perception</t>
  </si>
  <si>
    <t xml:space="preserve">A brand of computer monitor</t>
  </si>
  <si>
    <t xml:space="preserve">A type of spreadsheet</t>
  </si>
  <si>
    <t xml:space="preserve">Which is an example of a supervised learning problem?</t>
  </si>
  <si>
    <t xml:space="preserve">Randomly shuffling data</t>
  </si>
  <si>
    <t xml:space="preserve">Grouping unlabeled customers by similarity</t>
  </si>
  <si>
    <t xml:space="preserve">Predicting a house price from labeled historical sales</t>
  </si>
  <si>
    <t xml:space="preserve">Compressing an image</t>
  </si>
  <si>
    <t xml:space="preserve">What is a 'feature' in machine learning?</t>
  </si>
  <si>
    <t xml:space="preserve">An input variable/attribute used by the model to make predictions</t>
  </si>
  <si>
    <t xml:space="preserve">The final prediction only</t>
  </si>
  <si>
    <t xml:space="preserve">A type of database</t>
  </si>
  <si>
    <t xml:space="preserve">A bug in the model</t>
  </si>
  <si>
    <t xml:space="preserve">What is a 'label' (target) in supervised learning?</t>
  </si>
  <si>
    <t xml:space="preserve">A column name only</t>
  </si>
  <si>
    <t xml:space="preserve">The learning rate</t>
  </si>
  <si>
    <t xml:space="preserve">The known correct output the model learns to predict</t>
  </si>
  <si>
    <t xml:space="preserve">Which of these is a common clustering algorithm?</t>
  </si>
  <si>
    <t xml:space="preserve">K-means</t>
  </si>
  <si>
    <t xml:space="preserve">Bubble sort</t>
  </si>
  <si>
    <t xml:space="preserve">Linear regression</t>
  </si>
  <si>
    <t xml:space="preserve">Binary search</t>
  </si>
  <si>
    <t xml:space="preserve">What is a neural network loosely inspired by?</t>
  </si>
  <si>
    <t xml:space="preserve">Traffic lights</t>
  </si>
  <si>
    <t xml:space="preserve">Ocean tides</t>
  </si>
  <si>
    <t xml:space="preserve">Musical notes</t>
  </si>
  <si>
    <t xml:space="preserve">Interconnected neurons in the brain</t>
  </si>
  <si>
    <t xml:space="preserve">What does 'training' a model mean?</t>
  </si>
  <si>
    <t xml:space="preserve">Adjusting model parameters using data so it can make good predictions</t>
  </si>
  <si>
    <t xml:space="preserve">Deleting the dataset</t>
  </si>
  <si>
    <t xml:space="preserve">Buying a faster computer</t>
  </si>
  <si>
    <t xml:space="preserve">Printing the results</t>
  </si>
  <si>
    <t xml:space="preserve">What is NLP (Natural Language Processing)?</t>
  </si>
  <si>
    <t xml:space="preserve">A database index</t>
  </si>
  <si>
    <t xml:space="preserve">A network protocol</t>
  </si>
  <si>
    <t xml:space="preserve">A field enabling computers to understand and generate human language</t>
  </si>
  <si>
    <t xml:space="preserve">What is the purpose of a 'loss function'?</t>
  </si>
  <si>
    <t xml:space="preserve">To render charts</t>
  </si>
  <si>
    <t xml:space="preserve">To measure how far the model's predictions are from the true values so training can minimize it</t>
  </si>
  <si>
    <t xml:space="preserve">To connect to the internet</t>
  </si>
  <si>
    <t xml:space="preserve">To store the dataset</t>
  </si>
  <si>
    <t xml:space="preserve">What is 'gradient descent'?</t>
  </si>
  <si>
    <t xml:space="preserve">An optimization algorithm that iteratively adjusts parameters in the direction that reduces the loss</t>
  </si>
  <si>
    <t xml:space="preserve">A type of database join</t>
  </si>
  <si>
    <t xml:space="preserve">A data storage format</t>
  </si>
  <si>
    <t xml:space="preserve">A clustering method</t>
  </si>
  <si>
    <t xml:space="preserve">What is the difference between a parameter and a hyperparameter?</t>
  </si>
  <si>
    <t xml:space="preserve">Parameters are always integers</t>
  </si>
  <si>
    <t xml:space="preserve">Hyperparameters are learned automatically only</t>
  </si>
  <si>
    <t xml:space="preserve">Parameters are learned from data during training; hyperparameters are set before training (e.g., learning rate)</t>
  </si>
  <si>
    <t xml:space="preserve">They are the same</t>
  </si>
  <si>
    <t xml:space="preserve">What is 'feature engineering'?</t>
  </si>
  <si>
    <t xml:space="preserve">Encrypting the model</t>
  </si>
  <si>
    <t xml:space="preserve">Buying more hardware</t>
  </si>
  <si>
    <t xml:space="preserve">Deleting all features</t>
  </si>
  <si>
    <t xml:space="preserve">Creating or transforming input variables to improve model performance</t>
  </si>
  <si>
    <t xml:space="preserve">In NLP, what does a word embedding capture?</t>
  </si>
  <si>
    <t xml:space="preserve">The file size of the text</t>
  </si>
  <si>
    <t xml:space="preserve">The color of the text</t>
  </si>
  <si>
    <t xml:space="preserve">Semantic relationships between words as dense numeric vectors</t>
  </si>
  <si>
    <t xml:space="preserve">The font of the word</t>
  </si>
  <si>
    <t xml:space="preserve">What is the role of an activation function in a neural network?</t>
  </si>
  <si>
    <t xml:space="preserve">It stores the dataset</t>
  </si>
  <si>
    <t xml:space="preserve">It sorts the data</t>
  </si>
  <si>
    <t xml:space="preserve">It introduces non-linearity so the network can learn complex patterns</t>
  </si>
  <si>
    <t xml:space="preserve">It compresses images</t>
  </si>
  <si>
    <t xml:space="preserve">What does 'cross-validation' help estimate?</t>
  </si>
  <si>
    <t xml:space="preserve">The exact price of hardware</t>
  </si>
  <si>
    <t xml:space="preserve">How well a model generalizes, by training/testing on multiple data folds</t>
  </si>
  <si>
    <t xml:space="preserve">The color scheme</t>
  </si>
  <si>
    <t xml:space="preserve">The file encoding</t>
  </si>
  <si>
    <t xml:space="preserve">What distinguishes a convolutional neural network (CNN) as well-suited for images?</t>
  </si>
  <si>
    <t xml:space="preserve">It only works on text</t>
  </si>
  <si>
    <t xml:space="preserve">Convolutional layers learn spatial/local patterns like edges and textures across the image</t>
  </si>
  <si>
    <t xml:space="preserve">It cannot process pixels</t>
  </si>
  <si>
    <t xml:space="preserve">It requires no training</t>
  </si>
  <si>
    <t xml:space="preserve">What is 'transfer learning'?</t>
  </si>
  <si>
    <t xml:space="preserve">Deleting the model</t>
  </si>
  <si>
    <t xml:space="preserve">Transferring money</t>
  </si>
  <si>
    <t xml:space="preserve">Reusing a model pre-trained on a large dataset and adapting it to a related task with less data</t>
  </si>
  <si>
    <t xml:space="preserve">Moving files between disks</t>
  </si>
  <si>
    <t xml:space="preserve">What does a confusion matrix summarize for a classifier?</t>
  </si>
  <si>
    <t xml:space="preserve">True/false positives and negatives, enabling metrics like precision and recall</t>
  </si>
  <si>
    <t xml:space="preserve">The GPU temperature</t>
  </si>
  <si>
    <t xml:space="preserve">The training time only</t>
  </si>
  <si>
    <t xml:space="preserve">The dataset file size</t>
  </si>
  <si>
    <t xml:space="preserve">What is the exploration vs exploitation trade-off in reinforcement learning?</t>
  </si>
  <si>
    <t xml:space="preserve">Choosing a database engine</t>
  </si>
  <si>
    <t xml:space="preserve">Selecting a chart color</t>
  </si>
  <si>
    <t xml:space="preserve">Balancing trying new actions to learn (explore) against choosing known rewarding actions (exploit)</t>
  </si>
  <si>
    <t xml:space="preserve">Deciding file formats</t>
  </si>
  <si>
    <t xml:space="preserve">A model has high bias and underfits. What is the correct interpretation and remedy?</t>
  </si>
  <si>
    <t xml:space="preserve">It memorized noise; add more regularization</t>
  </si>
  <si>
    <t xml:space="preserve">It is perfect and needs no change</t>
  </si>
  <si>
    <t xml:space="preserve">It is too simple to capture the pattern; increase model complexity, add features, or reduce regularization</t>
  </si>
  <si>
    <t xml:space="preserve">The data is leaking; remove the test set</t>
  </si>
  <si>
    <t xml:space="preserve">Why is a validation set kept separate from the test set during model development?</t>
  </si>
  <si>
    <t xml:space="preserve">The test set is used to train</t>
  </si>
  <si>
    <t xml:space="preserve">The validation set tunes hyperparameters/model choices while the test set gives an unbiased final estimate on truly unseen data</t>
  </si>
  <si>
    <t xml:space="preserve">Validation data is discarded before training</t>
  </si>
  <si>
    <t xml:space="preserve">They serve identical purposes</t>
  </si>
  <si>
    <t xml:space="preserve">In an imbalanced fraud-detection problem, why might you optimize for recall on the positive class, accepting lower precision?</t>
  </si>
  <si>
    <t xml:space="preserve">The classes are perfectly balanced</t>
  </si>
  <si>
    <t xml:space="preserve">Missing a fraud (false negative) is far costlier than a false alarm, so catching more true frauds matters even with some false positives</t>
  </si>
  <si>
    <t xml:space="preserve">Precision is always irrelevant</t>
  </si>
  <si>
    <t xml:space="preserve">Recall reduces training time</t>
  </si>
  <si>
    <t xml:space="preserve">What is regularization (e.g., L1/L2) intended to do?</t>
  </si>
  <si>
    <t xml:space="preserve">Speed up disk I/O</t>
  </si>
  <si>
    <t xml:space="preserve">Delete features randomly</t>
  </si>
  <si>
    <t xml:space="preserve">Penalize large/complex weights to reduce overfitting and improve generalization</t>
  </si>
  <si>
    <t xml:space="preserve">Increase overfitting deliberately</t>
  </si>
  <si>
    <t xml:space="preserve">Why can a model that performs well offline degrade in production over time?</t>
  </si>
  <si>
    <t xml:space="preserve">Models never degrade</t>
  </si>
  <si>
    <t xml:space="preserve">Production has no data</t>
  </si>
  <si>
    <t xml:space="preserve">The GPU improves accuracy automatically</t>
  </si>
  <si>
    <t xml:space="preserve">Data/concept drift: real-world distributions change, so models need monitoring and periodic retraining</t>
  </si>
  <si>
    <t xml:space="preserve">What is the vanishing role of the softmax function in a multi-class classifier's output layer?</t>
  </si>
  <si>
    <t xml:space="preserve">It sorts the classes alphabetically</t>
  </si>
  <si>
    <t xml:space="preserve">It converts raw scores (logits) into a probability distribution over classes summing to 1</t>
  </si>
  <si>
    <t xml:space="preserve">It reduces the dataset size</t>
  </si>
  <si>
    <t xml:space="preserve">It encrypts the output</t>
  </si>
  <si>
    <t xml:space="preserve">A transformer model's 'attention' mechanism enables it to do what?</t>
  </si>
  <si>
    <t xml:space="preserve">Store data on disk</t>
  </si>
  <si>
    <t xml:space="preserve">Compress video</t>
  </si>
  <si>
    <t xml:space="preserve">Render user interfaces</t>
  </si>
  <si>
    <t xml:space="preserve">Weigh the relevance of different input tokens to each other, capturing context and long-range dependencies</t>
  </si>
  <si>
    <t xml:space="preserve">Why is a held-out test set never used for feature selection or scaling decisions?</t>
  </si>
  <si>
    <t xml:space="preserve">Scaling must always use all data</t>
  </si>
  <si>
    <t xml:space="preserve">Using it leaks test information into modeling choices, producing optimistic, unreliable performance estimates</t>
  </si>
  <si>
    <t xml:space="preserve">Feature selection requires the test set</t>
  </si>
  <si>
    <t xml:space="preserve">It makes training faster</t>
  </si>
  <si>
    <t xml:space="preserve">What is the primary purpose of an epoch during neural network training?</t>
  </si>
  <si>
    <t xml:space="preserve">The final prediction</t>
  </si>
  <si>
    <t xml:space="preserve">A single data record</t>
  </si>
  <si>
    <t xml:space="preserve">The size of the model file</t>
  </si>
  <si>
    <t xml:space="preserve">One complete pass over the entire training dataset; multiple epochs let the model iteratively improve</t>
  </si>
  <si>
    <t xml:space="preserve">What kind of content can generative AI produce?</t>
  </si>
  <si>
    <t xml:space="preserve">Text, images, audio, video, and code</t>
  </si>
  <si>
    <t xml:space="preserve">Only network packets</t>
  </si>
  <si>
    <t xml:space="preserve">Only printed paper</t>
  </si>
  <si>
    <t xml:space="preserve">Only spreadsheets</t>
  </si>
  <si>
    <t xml:space="preserve">What is a 'token' in a language model?</t>
  </si>
  <si>
    <t xml:space="preserve">A unit of text (word or word fragment) the model processes</t>
  </si>
  <si>
    <t xml:space="preserve">A database row</t>
  </si>
  <si>
    <t xml:space="preserve">A network port</t>
  </si>
  <si>
    <t xml:space="preserve">A physical security key</t>
  </si>
  <si>
    <t xml:space="preserve">What is a 'foundation model'?</t>
  </si>
  <si>
    <t xml:space="preserve">A concrete building base</t>
  </si>
  <si>
    <t xml:space="preserve">A spreadsheet template</t>
  </si>
  <si>
    <t xml:space="preserve">A large model pre-trained on broad data that can be adapted to many tasks</t>
  </si>
  <si>
    <t xml:space="preserve">A single SQL table</t>
  </si>
  <si>
    <t xml:space="preserve">What is 'fine-tuning' a model?</t>
  </si>
  <si>
    <t xml:space="preserve">Further training a pre-trained model on specific data to specialize it</t>
  </si>
  <si>
    <t xml:space="preserve">Compressing images</t>
  </si>
  <si>
    <t xml:space="preserve">Renaming files</t>
  </si>
  <si>
    <t xml:space="preserve">What is a 'context window' in an LLM?</t>
  </si>
  <si>
    <t xml:space="preserve">The maximum amount of text (tokens) the model can consider at once</t>
  </si>
  <si>
    <t xml:space="preserve">The GPU fan speed</t>
  </si>
  <si>
    <t xml:space="preserve">The screen brightness</t>
  </si>
  <si>
    <t xml:space="preserve">What is 'multimodal' AI?</t>
  </si>
  <si>
    <t xml:space="preserve">A backup system</t>
  </si>
  <si>
    <t xml:space="preserve">A model that can process and/or generate more than one type of data (e.g., text and images)</t>
  </si>
  <si>
    <t xml:space="preserve">A model with one input only</t>
  </si>
  <si>
    <t xml:space="preserve">A type of monitor</t>
  </si>
  <si>
    <t xml:space="preserve">What does the 'temperature' parameter control in text generation?</t>
  </si>
  <si>
    <t xml:space="preserve">The randomness/creativity of outputs—lower is more deterministic, higher is more varied</t>
  </si>
  <si>
    <t xml:space="preserve">The document font</t>
  </si>
  <si>
    <t xml:space="preserve">The GPU heat</t>
  </si>
  <si>
    <t xml:space="preserve">The file size</t>
  </si>
  <si>
    <t xml:space="preserve">Why do LLMs sometimes produce confident but false statements?</t>
  </si>
  <si>
    <t xml:space="preserve">They intentionally lie</t>
  </si>
  <si>
    <t xml:space="preserve">They only output numbers</t>
  </si>
  <si>
    <t xml:space="preserve">They have no training data</t>
  </si>
  <si>
    <t xml:space="preserve">They predict likely text from patterns and lack grounded truth verification, leading to hallucinations</t>
  </si>
  <si>
    <t xml:space="preserve">What is the transformer architecture known for in generative AI?</t>
  </si>
  <si>
    <t xml:space="preserve">Managing databases</t>
  </si>
  <si>
    <t xml:space="preserve">Rendering 3D games</t>
  </si>
  <si>
    <t xml:space="preserve">Using self-attention to model relationships across sequences, powering modern LLMs</t>
  </si>
  <si>
    <t xml:space="preserve">Storing files</t>
  </si>
  <si>
    <t xml:space="preserve">What is 'pre-training' versus 'fine-tuning'?</t>
  </si>
  <si>
    <t xml:space="preserve">Pre-training uses no data</t>
  </si>
  <si>
    <t xml:space="preserve">Fine-tuning comes before pre-training always</t>
  </si>
  <si>
    <t xml:space="preserve">Pre-training learns broad patterns from large general data; fine-tuning adapts the model to a narrower task/domain</t>
  </si>
  <si>
    <t xml:space="preserve">What is a practical reason enterprises use smaller models for some tasks?</t>
  </si>
  <si>
    <t xml:space="preserve">Model size never affects cost</t>
  </si>
  <si>
    <t xml:space="preserve">Lower cost and latency when the task is simple enough, reserving large models for complex needs</t>
  </si>
  <si>
    <t xml:space="preserve">Large models cannot run at all</t>
  </si>
  <si>
    <t xml:space="preserve">Small models are always more accurate</t>
  </si>
  <si>
    <t xml:space="preserve">What is RLHF (Reinforcement Learning from Human Feedback) used for?</t>
  </si>
  <si>
    <t xml:space="preserve">Aligning model behavior with human preferences by training on human-rated responses</t>
  </si>
  <si>
    <t xml:space="preserve">Compressing the model</t>
  </si>
  <si>
    <t xml:space="preserve">Encrypting prompts</t>
  </si>
  <si>
    <t xml:space="preserve">Building databases</t>
  </si>
  <si>
    <t xml:space="preserve">What is 'grounding' an LLM response?</t>
  </si>
  <si>
    <t xml:space="preserve">Turning off the model</t>
  </si>
  <si>
    <t xml:space="preserve">Basing the answer on authoritative provided data/context to improve accuracy and reduce hallucination</t>
  </si>
  <si>
    <t xml:space="preserve">Randomizing the output</t>
  </si>
  <si>
    <t xml:space="preserve">Deleting the context</t>
  </si>
  <si>
    <t xml:space="preserve">What is an 'AI orchestration' layer in a GenAI application?</t>
  </si>
  <si>
    <t xml:space="preserve">A managed flow coordinating prompts, retrieval, tools, filtering, and model calls into one pipeline</t>
  </si>
  <si>
    <t xml:space="preserve">A backup disk</t>
  </si>
  <si>
    <t xml:space="preserve">A single hardware chip</t>
  </si>
  <si>
    <t xml:space="preserve">An agent loops indefinitely calling tools without converging on an answer. What design controls address this?</t>
  </si>
  <si>
    <t xml:space="preserve">Remove all tools permanently</t>
  </si>
  <si>
    <t xml:space="preserve">Disable logging</t>
  </si>
  <si>
    <t xml:space="preserve">Set iteration/step limits, add stopping criteria, monitor tool-call budgets, and include reflection or a supervisor to detect non-progress</t>
  </si>
  <si>
    <t xml:space="preserve">Give it infinite time</t>
  </si>
  <si>
    <t xml:space="preserve">Why is evaluating GenAI output harder than a traditional classification metric?</t>
  </si>
  <si>
    <t xml:space="preserve">GenAI cannot be evaluated</t>
  </si>
  <si>
    <t xml:space="preserve">Accuracy alone fully captures quality</t>
  </si>
  <si>
    <t xml:space="preserve">Outputs are open-ended and can be correct in many forms, so evaluation needs task-specific rubrics, human review, or reference-based/LLM-as-judge methods</t>
  </si>
  <si>
    <t xml:space="preserve">There is only one correct output always</t>
  </si>
  <si>
    <t xml:space="preserve">What is a key risk of sending proprietary enterprise data to an external foundation model, and a mitigation?</t>
  </si>
  <si>
    <t xml:space="preserve">There is no risk at all</t>
  </si>
  <si>
    <t xml:space="preserve">Encryption is impossible</t>
  </si>
  <si>
    <t xml:space="preserve">The model always memorizes and republishes data</t>
  </si>
  <si>
    <t xml:space="preserve">Data exposure/leakage; mitigate with contractual no-training terms, data masking, private deployment, and minimizing sensitive data in prompts</t>
  </si>
  <si>
    <t xml:space="preserve">When should an enterprise prefer fine-tuning over prompting/RAG?</t>
  </si>
  <si>
    <t xml:space="preserve">Never, prompting always suffices</t>
  </si>
  <si>
    <t xml:space="preserve">Only to reduce accuracy</t>
  </si>
  <si>
    <t xml:space="preserve">Whenever knowledge changes hourly</t>
  </si>
  <si>
    <t xml:space="preserve">When it needs consistent specialized behavior/format or domain style that prompting can't reliably achieve, and the knowledge is relatively stable</t>
  </si>
  <si>
    <t xml:space="preserve">Why might combining RAG with a fine-tuned model outperform either alone for enterprise support?</t>
  </si>
  <si>
    <t xml:space="preserve">Fine-tuning instills style/behavior while RAG supplies up-to-date, grounded facts—together improving both consistency and freshness</t>
  </si>
  <si>
    <t xml:space="preserve">They conflict and cannot be combined</t>
  </si>
  <si>
    <t xml:space="preserve">Fine-tuning provides real-time facts by itself</t>
  </si>
  <si>
    <t xml:space="preserve">RAG removes the need for any model</t>
  </si>
  <si>
    <t xml:space="preserve">What is 'zero-shot prompting'?</t>
  </si>
  <si>
    <t xml:space="preserve">Sending 100 examples</t>
  </si>
  <si>
    <t xml:space="preserve">Deleting the prompt</t>
  </si>
  <si>
    <t xml:space="preserve">Asking the model to do a task with no examples, relying on its pre-trained knowledge</t>
  </si>
  <si>
    <t xml:space="preserve">Turning the model off</t>
  </si>
  <si>
    <t xml:space="preserve">Which is a good habit when writing prompts?</t>
  </si>
  <si>
    <t xml:space="preserve">Be as vague as possible</t>
  </si>
  <si>
    <t xml:space="preserve">Be clear and specific about the task, audience, and desired format</t>
  </si>
  <si>
    <t xml:space="preserve">Never state the goal</t>
  </si>
  <si>
    <t xml:space="preserve">Use only emojis</t>
  </si>
  <si>
    <t xml:space="preserve">What is a 'system prompt' typically used for?</t>
  </si>
  <si>
    <t xml:space="preserve">Sending email</t>
  </si>
  <si>
    <t xml:space="preserve">Setting the model's role, rules, and behavior for the conversation</t>
  </si>
  <si>
    <t xml:space="preserve">Formatting a hard drive</t>
  </si>
  <si>
    <t xml:space="preserve">Rebooting the server</t>
  </si>
  <si>
    <t xml:space="preserve">Why include the desired output format (e.g., JSON, bullet list) in a prompt?</t>
  </si>
  <si>
    <t xml:space="preserve">It slows the model</t>
  </si>
  <si>
    <t xml:space="preserve">It guides the model to return results in a structure that's easy to use downstream</t>
  </si>
  <si>
    <t xml:space="preserve">It deletes the response</t>
  </si>
  <si>
    <t xml:space="preserve">It has no effect</t>
  </si>
  <si>
    <t xml:space="preserve">What is the benefit of providing examples (few-shot) in a prompt?</t>
  </si>
  <si>
    <t xml:space="preserve">It demonstrates the desired pattern, improving consistency and accuracy on the task</t>
  </si>
  <si>
    <t xml:space="preserve">It always retrains the model</t>
  </si>
  <si>
    <t xml:space="preserve">It disables reasoning</t>
  </si>
  <si>
    <t xml:space="preserve">It reduces the context window to zero</t>
  </si>
  <si>
    <t xml:space="preserve">How does asking the model to 'cite the source or say I don't know' help?</t>
  </si>
  <si>
    <t xml:space="preserve">It guarantees creativity</t>
  </si>
  <si>
    <t xml:space="preserve">It speeds up the GPU</t>
  </si>
  <si>
    <t xml:space="preserve">It reduces hallucination by encouraging grounded, verifiable answers and honest abstention</t>
  </si>
  <si>
    <t xml:space="preserve">It removes all context</t>
  </si>
  <si>
    <t xml:space="preserve">What is 'prompt chaining'?</t>
  </si>
  <si>
    <t xml:space="preserve">Deleting intermediate steps</t>
  </si>
  <si>
    <t xml:space="preserve">Sending one giant prompt only</t>
  </si>
  <si>
    <t xml:space="preserve">Breaking a complex task into a sequence of prompts where each step's output feeds the next</t>
  </si>
  <si>
    <t xml:space="preserve">Why is it useful to specify constraints (length, tone, audience) in a prompt?</t>
  </si>
  <si>
    <t xml:space="preserve">They disable the model</t>
  </si>
  <si>
    <t xml:space="preserve">Constraints confuse the model</t>
  </si>
  <si>
    <t xml:space="preserve">They only affect color</t>
  </si>
  <si>
    <t xml:space="preserve">Constraints narrow the output space so results match requirements more reliably</t>
  </si>
  <si>
    <t xml:space="preserve">What does providing 'delimiters' (e.g., triple quotes) around user content achieve?</t>
  </si>
  <si>
    <t xml:space="preserve">It encrypts the content</t>
  </si>
  <si>
    <t xml:space="preserve">It shortens the model</t>
  </si>
  <si>
    <t xml:space="preserve">It deletes the input</t>
  </si>
  <si>
    <t xml:space="preserve">It clearly separates instructions from data, reducing ambiguity and some injection risk</t>
  </si>
  <si>
    <t xml:space="preserve">What is a reasonable use of a low temperature in prompting?</t>
  </si>
  <si>
    <t xml:space="preserve">Disabling the model</t>
  </si>
  <si>
    <t xml:space="preserve">Creative brainstorming only</t>
  </si>
  <si>
    <t xml:space="preserve">Tasks needing consistent, factual, deterministic answers such as data extraction</t>
  </si>
  <si>
    <t xml:space="preserve">Random poetry</t>
  </si>
  <si>
    <t xml:space="preserve">A complex analytical prompt gives shallow answers. Which combination of techniques most improves depth and reliability?</t>
  </si>
  <si>
    <t xml:space="preserve">Decompose with prompt chaining, add few-shot exemplars, request step-by-step reasoning, and specify a structured output with self-check</t>
  </si>
  <si>
    <t xml:space="preserve">Send an empty prompt</t>
  </si>
  <si>
    <t xml:space="preserve">Ask only yes/no questions</t>
  </si>
  <si>
    <t xml:space="preserve">Increase temperature and remove all instructions</t>
  </si>
  <si>
    <t xml:space="preserve">Why can chain-of-thought reasoning sometimes be hidden or summarized rather than shown to end users in production?</t>
  </si>
  <si>
    <t xml:space="preserve">Because users cannot read text</t>
  </si>
  <si>
    <t xml:space="preserve">Because it deletes the answer</t>
  </si>
  <si>
    <t xml:space="preserve">Because reasoning is always wrong</t>
  </si>
  <si>
    <t xml:space="preserve">To avoid exposing intermediate reasoning that may be verbose, sensitive, or exploitable, while still benefiting from the reasoning internally</t>
  </si>
  <si>
    <t xml:space="preserve">A prompt reliably works on one model but fails on another. What is the sound engineering response?</t>
  </si>
  <si>
    <t xml:space="preserve">Delete the failing model's users</t>
  </si>
  <si>
    <t xml:space="preserve">Never change the prompt</t>
  </si>
  <si>
    <t xml:space="preserve">Recognize prompts are model-sensitive; re-test and adapt prompts per model, and maintain evaluation sets to catch regressions</t>
  </si>
  <si>
    <t xml:space="preserve">Assume all models behave identically</t>
  </si>
  <si>
    <t xml:space="preserve">How does 'self-consistency' improve answers on reasoning tasks?</t>
  </si>
  <si>
    <t xml:space="preserve">It sends one deterministic answer only</t>
  </si>
  <si>
    <t xml:space="preserve">It removes reasoning</t>
  </si>
  <si>
    <t xml:space="preserve">Sampling multiple reasoning paths and taking the majority/most-consistent answer reduces the impact of any single flawed chain</t>
  </si>
  <si>
    <t xml:space="preserve">It shortens the prompt</t>
  </si>
  <si>
    <t xml:space="preserve">Why should you never rely solely on prompt instructions like 'do not reveal secrets' for security?</t>
  </si>
  <si>
    <t xml:space="preserve">Because the model always obeys perfectly</t>
  </si>
  <si>
    <t xml:space="preserve">Because security is unnecessary</t>
  </si>
  <si>
    <t xml:space="preserve">Instructions can be overridden by injection or clever inputs; enforce security at the system/data/access layer independent of the prompt</t>
  </si>
  <si>
    <t xml:space="preserve">Because prompts are encrypted</t>
  </si>
  <si>
    <t xml:space="preserve">Which tool is primarily a conversational text assistant?</t>
  </si>
  <si>
    <t xml:space="preserve">Notepad</t>
  </si>
  <si>
    <t xml:space="preserve">Excel</t>
  </si>
  <si>
    <t xml:space="preserve">Photoshop</t>
  </si>
  <si>
    <t xml:space="preserve">Which capability is Midjourney/DALL·E associated with?</t>
  </si>
  <si>
    <t xml:space="preserve">Database backups</t>
  </si>
  <si>
    <t xml:space="preserve">Text-to-image generation</t>
  </si>
  <si>
    <t xml:space="preserve">Spreadsheet formulas</t>
  </si>
  <si>
    <t xml:space="preserve">Network routing</t>
  </si>
  <si>
    <t xml:space="preserve">Claude, made by Anthropic, is best described as:</t>
  </si>
  <si>
    <t xml:space="preserve">An operating system</t>
  </si>
  <si>
    <t xml:space="preserve">A large language model / AI assistant</t>
  </si>
  <si>
    <t xml:space="preserve">A relational database</t>
  </si>
  <si>
    <t xml:space="preserve">A web browser</t>
  </si>
  <si>
    <t xml:space="preserve">What is a common way developers access GenAI models in applications?</t>
  </si>
  <si>
    <t xml:space="preserve">By printing prompts</t>
  </si>
  <si>
    <t xml:space="preserve">Through an API provided by the model vendor</t>
  </si>
  <si>
    <t xml:space="preserve">By mailing a hard drive</t>
  </si>
  <si>
    <t xml:space="preserve">Through a fax machine</t>
  </si>
  <si>
    <t xml:space="preserve">What is an advantage of using an API to access a hosted LLM versus running your own?</t>
  </si>
  <si>
    <t xml:space="preserve">It requires buying GPUs</t>
  </si>
  <si>
    <t xml:space="preserve">It guarantees zero latency</t>
  </si>
  <si>
    <t xml:space="preserve">It removes all costs</t>
  </si>
  <si>
    <t xml:space="preserve">No infrastructure to manage, easy scaling, and access to updated models—at the cost of ongoing usage fees and data-handling considerations</t>
  </si>
  <si>
    <t xml:space="preserve">When comparing GenAI tools, why does context window size matter?</t>
  </si>
  <si>
    <t xml:space="preserve">A larger context window lets the model consider more input (long documents, more history) in a single request</t>
  </si>
  <si>
    <t xml:space="preserve">It sets the price to zero</t>
  </si>
  <si>
    <t xml:space="preserve">It only affects images</t>
  </si>
  <si>
    <t xml:space="preserve">It changes the logo color</t>
  </si>
  <si>
    <t xml:space="preserve">Why might an enterprise prefer an open-weights model deployed privately?</t>
  </si>
  <si>
    <t xml:space="preserve">Open models cannot be customized</t>
  </si>
  <si>
    <t xml:space="preserve">Greater control over data residency, customization, and no external data sharing—at the cost of managing infrastructure</t>
  </si>
  <si>
    <t xml:space="preserve">It removes all maintenance</t>
  </si>
  <si>
    <t xml:space="preserve">It always guarantees higher accuracy</t>
  </si>
  <si>
    <t xml:space="preserve">What is a 'playground' or console offered by GenAI providers used for?</t>
  </si>
  <si>
    <t xml:space="preserve">Managing payroll</t>
  </si>
  <si>
    <t xml:space="preserve">Experimenting with prompts and parameters interactively before integrating via API</t>
  </si>
  <si>
    <t xml:space="preserve">Editing photos only</t>
  </si>
  <si>
    <t xml:space="preserve">Playing video games</t>
  </si>
  <si>
    <t xml:space="preserve">A team must choose between a general chat model and a code-specialized tool for a dev workflow. What is the most rational basis?</t>
  </si>
  <si>
    <t xml:space="preserve">Never evaluate; choose randomly</t>
  </si>
  <si>
    <t xml:space="preserve">Match the tool to the task—code assistants integrate with editors and excel at coding, while general models suit broad reasoning—also weighing cost, privacy, and integration</t>
  </si>
  <si>
    <t xml:space="preserve">Pick by logo color</t>
  </si>
  <si>
    <t xml:space="preserve">Always pick whichever has more marketing</t>
  </si>
  <si>
    <t xml:space="preserve">Why is vendor lock-in a consideration when standardizing on one GenAI provider?</t>
  </si>
  <si>
    <t xml:space="preserve">APIs never change</t>
  </si>
  <si>
    <t xml:space="preserve">Lock-in has no downside</t>
  </si>
  <si>
    <t xml:space="preserve">Heavy coupling to one provider's APIs/features can raise switching costs; abstraction layers and evaluations across providers preserve flexibility</t>
  </si>
  <si>
    <t xml:space="preserve">All providers are identical</t>
  </si>
  <si>
    <t xml:space="preserve">When integrating a third-party GenAI API into a regulated product, which factors are essential to review?</t>
  </si>
  <si>
    <t xml:space="preserve">Only the response speed</t>
  </si>
  <si>
    <t xml:space="preserve">Only the logo</t>
  </si>
  <si>
    <t xml:space="preserve">Data-handling and retention terms, compliance certifications, region/residency, uptime SLAs, and content/safety controls</t>
  </si>
  <si>
    <t xml:space="preserve">Only the marketing claims</t>
  </si>
  <si>
    <t xml:space="preserve">In RAG, what is 'retrieval'?</t>
  </si>
  <si>
    <t xml:space="preserve">Compiling code</t>
  </si>
  <si>
    <t xml:space="preserve">Fetching relevant documents/chunks from a knowledge source to inform the model's answer</t>
  </si>
  <si>
    <t xml:space="preserve">Generating random text</t>
  </si>
  <si>
    <t xml:space="preserve">What is 'chunking' in a RAG pipeline?</t>
  </si>
  <si>
    <t xml:space="preserve">Merging all files into one token</t>
  </si>
  <si>
    <t xml:space="preserve">Encrypting the database</t>
  </si>
  <si>
    <t xml:space="preserve">Deleting documents</t>
  </si>
  <si>
    <t xml:space="preserve">Splitting documents into smaller passages for embedding and retrieval</t>
  </si>
  <si>
    <t xml:space="preserve">What is stored in a vector database for RAG?</t>
  </si>
  <si>
    <t xml:space="preserve">Embeddings (numeric vectors) of content, enabling similarity search</t>
  </si>
  <si>
    <t xml:space="preserve">Compiled binaries</t>
  </si>
  <si>
    <t xml:space="preserve">Only images</t>
  </si>
  <si>
    <t xml:space="preserve">User passwords only</t>
  </si>
  <si>
    <t xml:space="preserve">Why do RAG systems reduce hallucination compared to a plain LLM?</t>
  </si>
  <si>
    <t xml:space="preserve">They never use an LLM</t>
  </si>
  <si>
    <t xml:space="preserve">They ground answers in retrieved, relevant source content rather than the model's memory alone</t>
  </si>
  <si>
    <t xml:space="preserve">They only answer yes/no</t>
  </si>
  <si>
    <t xml:space="preserve">What is an embedding model's job in RAG?</t>
  </si>
  <si>
    <t xml:space="preserve">To render the UI</t>
  </si>
  <si>
    <t xml:space="preserve">To convert text into vectors that place semantically similar content close together</t>
  </si>
  <si>
    <t xml:space="preserve">To compile queries</t>
  </si>
  <si>
    <t xml:space="preserve">What distance/similarity measure is commonly used to compare embeddings?</t>
  </si>
  <si>
    <t xml:space="preserve">Cosine similarity (or dot product / Euclidean distance)</t>
  </si>
  <si>
    <t xml:space="preserve">File modification date</t>
  </si>
  <si>
    <t xml:space="preserve">Alphabetical order</t>
  </si>
  <si>
    <t xml:space="preserve">RGB color distance</t>
  </si>
  <si>
    <t xml:space="preserve">What is 'top-k' retrieval in RAG?</t>
  </si>
  <si>
    <t xml:space="preserve">Deleting k chunks</t>
  </si>
  <si>
    <t xml:space="preserve">Returning every chunk always</t>
  </si>
  <si>
    <t xml:space="preserve">Sorting by file size</t>
  </si>
  <si>
    <t xml:space="preserve">Returning the k most relevant chunks to include as context</t>
  </si>
  <si>
    <t xml:space="preserve">Why is chunk overlap sometimes used?</t>
  </si>
  <si>
    <t xml:space="preserve">To waste storage deliberately</t>
  </si>
  <si>
    <t xml:space="preserve">To preserve context that spans chunk boundaries, avoiding cutting off relevant information</t>
  </si>
  <si>
    <t xml:space="preserve">To slow retrieval</t>
  </si>
  <si>
    <t xml:space="preserve">To duplicate the whole database</t>
  </si>
  <si>
    <t xml:space="preserve">What is a 're-ranker' in an advanced RAG pipeline?</t>
  </si>
  <si>
    <t xml:space="preserve">A second-stage model that reorders retrieved candidates by relevance for better final context</t>
  </si>
  <si>
    <t xml:space="preserve">A password manager</t>
  </si>
  <si>
    <t xml:space="preserve">A UI theme</t>
  </si>
  <si>
    <t xml:space="preserve">A backup tool</t>
  </si>
  <si>
    <t xml:space="preserve">Why might hybrid search (keyword + vector) outperform vector search alone?</t>
  </si>
  <si>
    <t xml:space="preserve">It combines exact keyword matching with semantic similarity, improving recall for both precise terms and conceptual queries</t>
  </si>
  <si>
    <t xml:space="preserve">Vector search cannot be combined with anything</t>
  </si>
  <si>
    <t xml:space="preserve">Hybrid search ignores relevance</t>
  </si>
  <si>
    <t xml:space="preserve">Keyword search is always better</t>
  </si>
  <si>
    <t xml:space="preserve">What is metadata filtering in retrieval used for?</t>
  </si>
  <si>
    <t xml:space="preserve">Deleting metadata</t>
  </si>
  <si>
    <t xml:space="preserve">Restricting retrieval to chunks matching attributes (e.g., department, date, access level) before/along with similarity search</t>
  </si>
  <si>
    <t xml:space="preserve">Rendering charts</t>
  </si>
  <si>
    <t xml:space="preserve">Encrypting all data</t>
  </si>
  <si>
    <t xml:space="preserve">A RAG assistant returns outdated answers even after documents were updated. What is the likely cause and fix?</t>
  </si>
  <si>
    <t xml:space="preserve">RAG cannot update ever</t>
  </si>
  <si>
    <t xml:space="preserve">The LLM is broken forever</t>
  </si>
  <si>
    <t xml:space="preserve">The vector index wasn't refreshed; implement a re-embedding/ingestion pipeline that updates the index when source documents change</t>
  </si>
  <si>
    <t xml:space="preserve">Delete the knowledge base permanently</t>
  </si>
  <si>
    <t xml:space="preserve">Retrieval returns semantically similar but wrong-scope chunks (e.g., another product line). Which fix is most targeted?</t>
  </si>
  <si>
    <t xml:space="preserve">Merge all products into one document</t>
  </si>
  <si>
    <t xml:space="preserve">Add metadata filtering and namespaces so retrieval is constrained to the correct scope, plus improve chunking/embeddings</t>
  </si>
  <si>
    <t xml:space="preserve">Remove retrieval</t>
  </si>
  <si>
    <t xml:space="preserve">Increase temperature</t>
  </si>
  <si>
    <t xml:space="preserve">How should access control be enforced in an enterprise RAG system so users only see permitted content?</t>
  </si>
  <si>
    <t xml:space="preserve">Apply permission filters at retrieval time (and at the data layer), never relying on the prompt to hide unauthorized data</t>
  </si>
  <si>
    <t xml:space="preserve">Trust the LLM to hide restricted data</t>
  </si>
  <si>
    <t xml:space="preserve">Give all users all documents</t>
  </si>
  <si>
    <t xml:space="preserve">Disable authentication</t>
  </si>
  <si>
    <t xml:space="preserve">What does measuring 'retrieval precision and recall' tell you about a RAG system?</t>
  </si>
  <si>
    <t xml:space="preserve">Whether retrieved chunks are relevant (precision) and whether relevant chunks are being found (recall)—key to diagnosing answer quality</t>
  </si>
  <si>
    <t xml:space="preserve">The UI color</t>
  </si>
  <si>
    <t xml:space="preserve">The user's password strength</t>
  </si>
  <si>
    <t xml:space="preserve">Why can very large top-k retrieval hurt answer quality and cost?</t>
  </si>
  <si>
    <t xml:space="preserve">It reduces cost to zero</t>
  </si>
  <si>
    <t xml:space="preserve">Too much context can dilute relevant signal, increase token cost/latency, and cause the model to lose focus; tune k and use re-ranking</t>
  </si>
  <si>
    <t xml:space="preserve">More context is always strictly better</t>
  </si>
  <si>
    <t xml:space="preserve">It has no effect at all</t>
  </si>
  <si>
    <t xml:space="preserve">What is an API?</t>
  </si>
  <si>
    <t xml:space="preserve">A monitor</t>
  </si>
  <si>
    <t xml:space="preserve">A physical cable</t>
  </si>
  <si>
    <t xml:space="preserve">A spreadsheet</t>
  </si>
  <si>
    <t xml:space="preserve">A defined interface that lets software components communicate and exchange data</t>
  </si>
  <si>
    <t xml:space="preserve">What does Streamlit let you build with mostly Python?</t>
  </si>
  <si>
    <t xml:space="preserve">Printer firmware</t>
  </si>
  <si>
    <t xml:space="preserve">Interactive web apps and dashboards</t>
  </si>
  <si>
    <t xml:space="preserve">Network drivers</t>
  </si>
  <si>
    <t xml:space="preserve">What is JSON commonly used for in APIs?</t>
  </si>
  <si>
    <t xml:space="preserve">Encrypting hard drives</t>
  </si>
  <si>
    <t xml:space="preserve">Compiling C code</t>
  </si>
  <si>
    <t xml:space="preserve">A lightweight, human-readable format for exchanging structured data</t>
  </si>
  <si>
    <t xml:space="preserve">What HTTP method is typically used to create a new resource via a REST API?</t>
  </si>
  <si>
    <t xml:space="preserve">GET only</t>
  </si>
  <si>
    <t xml:space="preserve">No method needed</t>
  </si>
  <si>
    <t xml:space="preserve">POST</t>
  </si>
  <si>
    <t xml:space="preserve">What does FastAPI generate automatically from your type-annotated endpoints?</t>
  </si>
  <si>
    <t xml:space="preserve">Interactive OpenAPI/Swagger documentation</t>
  </si>
  <si>
    <t xml:space="preserve">A mobile OS</t>
  </si>
  <si>
    <t xml:space="preserve">A CSS framework</t>
  </si>
  <si>
    <t xml:space="preserve">Why is input validation important for a public API?</t>
  </si>
  <si>
    <t xml:space="preserve">It has no security value</t>
  </si>
  <si>
    <t xml:space="preserve">It slows every request intentionally</t>
  </si>
  <si>
    <t xml:space="preserve">It rejects malformed or malicious data early, protecting the app and ensuring correct behavior</t>
  </si>
  <si>
    <t xml:space="preserve">A Streamlit prototype gets slow because expensive computation reruns on every widget interaction. What is the idiomatic fix?</t>
  </si>
  <si>
    <t xml:space="preserve">Delete all widgets</t>
  </si>
  <si>
    <t xml:space="preserve">Cache expensive results (e.g., with st.cache_data / st.cache_resource) so they aren't recomputed on each rerun</t>
  </si>
  <si>
    <t xml:space="preserve">Restart the server per click</t>
  </si>
  <si>
    <t xml:space="preserve">Move everything to a spreadsheet</t>
  </si>
  <si>
    <t xml:space="preserve">A FastAPI service calling a slow external LLM blocks other requests under load. What is the correct approach?</t>
  </si>
  <si>
    <t xml:space="preserve">Make everything synchronous</t>
  </si>
  <si>
    <t xml:space="preserve">Add more print statements</t>
  </si>
  <si>
    <t xml:space="preserve">Use async endpoints and non-blocking I/O (async/await) so the server can handle concurrent requests while awaiting the LLM</t>
  </si>
  <si>
    <t xml:space="preserve">Disable concurrency entirely</t>
  </si>
  <si>
    <t xml:space="preserve">Why should a public GenAI API implement rate limiting and authentication?</t>
  </si>
  <si>
    <t xml:space="preserve">Because APIs cannot be secured</t>
  </si>
  <si>
    <t xml:space="preserve">To prevent abuse/cost overrun, ensure fair usage, and control access to protected functionality and data</t>
  </si>
  <si>
    <t xml:space="preserve">To slow down all users equally for fun</t>
  </si>
  <si>
    <t xml:space="preserve">To remove documentation</t>
  </si>
  <si>
    <t xml:space="preserve">When serving an ML model behind an API, why is versioning the model and endpoint important?</t>
  </si>
  <si>
    <t xml:space="preserve">It enables safe rollouts, reproducibility, and rollback, and lets clients depend on stable behavior while you iterate</t>
  </si>
  <si>
    <t xml:space="preserve">Versioning slows the API</t>
  </si>
  <si>
    <t xml:space="preserve">Models never change</t>
  </si>
  <si>
    <t xml:space="preserve">It deletes old predictions</t>
  </si>
  <si>
    <t xml:space="preserve">MCQ Set Summary (250 Questions) - Cloud &amp; Programming Fundamentals + AI/ML + Generative AI</t>
  </si>
  <si>
    <t xml:space="preserve">Category</t>
  </si>
  <si>
    <t xml:space="preserve">Count</t>
  </si>
  <si>
    <t xml:space="preserve">Percentage</t>
  </si>
  <si>
    <t xml:space="preserve">Topics Covered</t>
  </si>
  <si>
    <t xml:space="preserve">Easy Questions</t>
  </si>
  <si>
    <t xml:space="preserve">30%</t>
  </si>
  <si>
    <t xml:space="preserve">Definitions &amp; core concepts across cloud, SQL, Python, Copilot, AI/ML, GenAI, prompting, RAG, APIs</t>
  </si>
  <si>
    <t xml:space="preserve">Medium Questions</t>
  </si>
  <si>
    <t xml:space="preserve">40%</t>
  </si>
  <si>
    <t xml:space="preserve">Applied concepts: scaling, joins/normalization, pandas ops, ETL, training/eval, agents, prompt techniques, retrieval</t>
  </si>
  <si>
    <t xml:space="preserve">Difficult Questions</t>
  </si>
  <si>
    <t xml:space="preserve">Design &amp; troubleshooting: DR/resilience, query tuning, concurrency, leakage, drift, injection, RAG faithfulness, async APIs</t>
  </si>
  <si>
    <t xml:space="preserve">Total Questions</t>
  </si>
  <si>
    <t xml:space="preserve">100%</t>
  </si>
  <si>
    <t xml:space="preserve">Cloud + Programming + AI/ML + Generative AI</t>
  </si>
  <si>
    <t xml:space="preserve">Breakdown by Topic</t>
  </si>
  <si>
    <t xml:space="preserve">Question Count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</si>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</sst>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0F7EE"/>
        <bgColor rgb="FFFFFFFF"/>
      </patternFill>
    </fill>
    <fill>
      <patternFill patternType="solid">
        <fgColor rgb="FFE2EFDA"/>
        <bgColor rgb="FFF0F7E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0F7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0F7EE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8" min="5" style="0" width="45"/>
    <col collapsed="false" customWidth="true" hidden="false" outlineLevel="0" max="9" min="9" style="0" width="1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n">
        <v>1</v>
      </c>
      <c r="B2" s="3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 t="s">
        <v>16</v>
      </c>
    </row>
    <row r="3" customFormat="false" ht="23.85" hidden="false" customHeight="false" outlineLevel="0" collapsed="false">
      <c r="A3" s="4" t="n">
        <v>2</v>
      </c>
      <c r="B3" s="5" t="s">
        <v>9</v>
      </c>
      <c r="C3" s="4" t="s">
        <v>10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4" t="s">
        <v>16</v>
      </c>
    </row>
    <row r="4" customFormat="false" ht="23.85" hidden="false" customHeight="false" outlineLevel="0" collapsed="false">
      <c r="A4" s="2" t="n">
        <v>3</v>
      </c>
      <c r="B4" s="3" t="s">
        <v>9</v>
      </c>
      <c r="C4" s="2" t="s">
        <v>10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2" t="s">
        <v>27</v>
      </c>
    </row>
    <row r="5" customFormat="false" ht="23.85" hidden="false" customHeight="false" outlineLevel="0" collapsed="false">
      <c r="A5" s="4" t="n">
        <v>4</v>
      </c>
      <c r="B5" s="5" t="s">
        <v>9</v>
      </c>
      <c r="C5" s="4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4" t="s">
        <v>34</v>
      </c>
    </row>
    <row r="6" customFormat="false" ht="35.05" hidden="false" customHeight="false" outlineLevel="0" collapsed="false">
      <c r="A6" s="2" t="n">
        <v>5</v>
      </c>
      <c r="B6" s="3" t="s">
        <v>9</v>
      </c>
      <c r="C6" s="2" t="s">
        <v>28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2" t="s">
        <v>27</v>
      </c>
    </row>
    <row r="7" customFormat="false" ht="23.85" hidden="false" customHeight="false" outlineLevel="0" collapsed="false">
      <c r="A7" s="4" t="n">
        <v>6</v>
      </c>
      <c r="B7" s="5" t="s">
        <v>9</v>
      </c>
      <c r="C7" s="4" t="s">
        <v>28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4" t="s">
        <v>34</v>
      </c>
    </row>
    <row r="8" customFormat="false" ht="35.05" hidden="false" customHeight="false" outlineLevel="0" collapsed="false">
      <c r="A8" s="2" t="n">
        <v>7</v>
      </c>
      <c r="B8" s="3" t="s">
        <v>9</v>
      </c>
      <c r="C8" s="2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  <c r="I8" s="2" t="s">
        <v>16</v>
      </c>
    </row>
    <row r="9" customFormat="false" ht="35.05" hidden="false" customHeight="false" outlineLevel="0" collapsed="false">
      <c r="A9" s="4" t="n">
        <v>8</v>
      </c>
      <c r="B9" s="5" t="s">
        <v>9</v>
      </c>
      <c r="C9" s="4" t="s">
        <v>45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  <c r="I9" s="4" t="s">
        <v>34</v>
      </c>
    </row>
    <row r="10" customFormat="false" ht="15" hidden="false" customHeight="false" outlineLevel="0" collapsed="false">
      <c r="A10" s="2" t="n">
        <v>9</v>
      </c>
      <c r="B10" s="3" t="s">
        <v>56</v>
      </c>
      <c r="C10" s="2" t="s">
        <v>10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  <c r="I10" s="2" t="s">
        <v>62</v>
      </c>
    </row>
    <row r="11" customFormat="false" ht="23.85" hidden="false" customHeight="false" outlineLevel="0" collapsed="false">
      <c r="A11" s="4" t="n">
        <v>10</v>
      </c>
      <c r="B11" s="5" t="s">
        <v>56</v>
      </c>
      <c r="C11" s="4" t="s">
        <v>10</v>
      </c>
      <c r="D11" s="5" t="s">
        <v>63</v>
      </c>
      <c r="E11" s="5" t="s">
        <v>64</v>
      </c>
      <c r="F11" s="5" t="s">
        <v>65</v>
      </c>
      <c r="G11" s="5" t="s">
        <v>66</v>
      </c>
      <c r="H11" s="5" t="s">
        <v>67</v>
      </c>
      <c r="I11" s="4" t="s">
        <v>62</v>
      </c>
    </row>
    <row r="12" customFormat="false" ht="15" hidden="false" customHeight="false" outlineLevel="0" collapsed="false">
      <c r="A12" s="2" t="n">
        <v>11</v>
      </c>
      <c r="B12" s="3" t="s">
        <v>56</v>
      </c>
      <c r="C12" s="2" t="s">
        <v>10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72</v>
      </c>
      <c r="I12" s="2" t="s">
        <v>16</v>
      </c>
    </row>
    <row r="13" customFormat="false" ht="15" hidden="false" customHeight="false" outlineLevel="0" collapsed="false">
      <c r="A13" s="4" t="n">
        <v>12</v>
      </c>
      <c r="B13" s="5" t="s">
        <v>56</v>
      </c>
      <c r="C13" s="4" t="s">
        <v>10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77</v>
      </c>
      <c r="I13" s="4" t="s">
        <v>16</v>
      </c>
    </row>
    <row r="14" customFormat="false" ht="23.85" hidden="false" customHeight="false" outlineLevel="0" collapsed="false">
      <c r="A14" s="2" t="n">
        <v>13</v>
      </c>
      <c r="B14" s="3" t="s">
        <v>56</v>
      </c>
      <c r="C14" s="2" t="s">
        <v>28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82</v>
      </c>
      <c r="I14" s="2" t="s">
        <v>16</v>
      </c>
    </row>
    <row r="15" customFormat="false" ht="23.85" hidden="false" customHeight="false" outlineLevel="0" collapsed="false">
      <c r="A15" s="4" t="n">
        <v>14</v>
      </c>
      <c r="B15" s="5" t="s">
        <v>56</v>
      </c>
      <c r="C15" s="4" t="s">
        <v>28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4" t="s">
        <v>34</v>
      </c>
    </row>
    <row r="16" customFormat="false" ht="23.85" hidden="false" customHeight="false" outlineLevel="0" collapsed="false">
      <c r="A16" s="2" t="n">
        <v>15</v>
      </c>
      <c r="B16" s="3" t="s">
        <v>56</v>
      </c>
      <c r="C16" s="2" t="s">
        <v>28</v>
      </c>
      <c r="D16" s="3" t="s">
        <v>88</v>
      </c>
      <c r="E16" s="3" t="s">
        <v>89</v>
      </c>
      <c r="F16" s="3" t="s">
        <v>90</v>
      </c>
      <c r="G16" s="3" t="s">
        <v>91</v>
      </c>
      <c r="H16" s="3" t="s">
        <v>92</v>
      </c>
      <c r="I16" s="2" t="s">
        <v>16</v>
      </c>
    </row>
    <row r="17" customFormat="false" ht="23.85" hidden="false" customHeight="false" outlineLevel="0" collapsed="false">
      <c r="A17" s="4" t="n">
        <v>16</v>
      </c>
      <c r="B17" s="5" t="s">
        <v>56</v>
      </c>
      <c r="C17" s="4" t="s">
        <v>28</v>
      </c>
      <c r="D17" s="5" t="s">
        <v>93</v>
      </c>
      <c r="E17" s="5" t="s">
        <v>94</v>
      </c>
      <c r="F17" s="5" t="s">
        <v>95</v>
      </c>
      <c r="G17" s="5" t="s">
        <v>96</v>
      </c>
      <c r="H17" s="5" t="s">
        <v>97</v>
      </c>
      <c r="I17" s="4" t="s">
        <v>27</v>
      </c>
    </row>
    <row r="18" customFormat="false" ht="15" hidden="false" customHeight="false" outlineLevel="0" collapsed="false">
      <c r="A18" s="2" t="n">
        <v>17</v>
      </c>
      <c r="B18" s="3" t="s">
        <v>56</v>
      </c>
      <c r="C18" s="2" t="s">
        <v>28</v>
      </c>
      <c r="D18" s="3" t="s">
        <v>98</v>
      </c>
      <c r="E18" s="3" t="s">
        <v>99</v>
      </c>
      <c r="F18" s="3" t="s">
        <v>100</v>
      </c>
      <c r="G18" s="3" t="s">
        <v>101</v>
      </c>
      <c r="H18" s="3" t="s">
        <v>102</v>
      </c>
      <c r="I18" s="2" t="s">
        <v>34</v>
      </c>
    </row>
    <row r="19" customFormat="false" ht="23.85" hidden="false" customHeight="false" outlineLevel="0" collapsed="false">
      <c r="A19" s="4" t="n">
        <v>18</v>
      </c>
      <c r="B19" s="5" t="s">
        <v>56</v>
      </c>
      <c r="C19" s="4" t="s">
        <v>28</v>
      </c>
      <c r="D19" s="5" t="s">
        <v>103</v>
      </c>
      <c r="E19" s="5" t="s">
        <v>104</v>
      </c>
      <c r="F19" s="5" t="s">
        <v>105</v>
      </c>
      <c r="G19" s="5" t="s">
        <v>106</v>
      </c>
      <c r="H19" s="5" t="s">
        <v>107</v>
      </c>
      <c r="I19" s="4" t="s">
        <v>34</v>
      </c>
    </row>
    <row r="20" customFormat="false" ht="35.05" hidden="false" customHeight="false" outlineLevel="0" collapsed="false">
      <c r="A20" s="2" t="n">
        <v>19</v>
      </c>
      <c r="B20" s="3" t="s">
        <v>56</v>
      </c>
      <c r="C20" s="2" t="s">
        <v>45</v>
      </c>
      <c r="D20" s="3" t="s">
        <v>108</v>
      </c>
      <c r="E20" s="3" t="s">
        <v>109</v>
      </c>
      <c r="F20" s="3" t="s">
        <v>110</v>
      </c>
      <c r="G20" s="3" t="s">
        <v>111</v>
      </c>
      <c r="H20" s="3" t="s">
        <v>112</v>
      </c>
      <c r="I20" s="2" t="s">
        <v>62</v>
      </c>
    </row>
    <row r="21" customFormat="false" ht="46.25" hidden="false" customHeight="false" outlineLevel="0" collapsed="false">
      <c r="A21" s="4" t="n">
        <v>20</v>
      </c>
      <c r="B21" s="5" t="s">
        <v>56</v>
      </c>
      <c r="C21" s="4" t="s">
        <v>45</v>
      </c>
      <c r="D21" s="5" t="s">
        <v>113</v>
      </c>
      <c r="E21" s="5" t="s">
        <v>114</v>
      </c>
      <c r="F21" s="5" t="s">
        <v>115</v>
      </c>
      <c r="G21" s="5" t="s">
        <v>116</v>
      </c>
      <c r="H21" s="5" t="s">
        <v>117</v>
      </c>
      <c r="I21" s="4" t="s">
        <v>16</v>
      </c>
    </row>
    <row r="22" customFormat="false" ht="57.45" hidden="false" customHeight="false" outlineLevel="0" collapsed="false">
      <c r="A22" s="2" t="n">
        <v>21</v>
      </c>
      <c r="B22" s="3" t="s">
        <v>56</v>
      </c>
      <c r="C22" s="2" t="s">
        <v>45</v>
      </c>
      <c r="D22" s="3" t="s">
        <v>118</v>
      </c>
      <c r="E22" s="3" t="s">
        <v>119</v>
      </c>
      <c r="F22" s="3" t="s">
        <v>120</v>
      </c>
      <c r="G22" s="3" t="s">
        <v>121</v>
      </c>
      <c r="H22" s="3" t="s">
        <v>122</v>
      </c>
      <c r="I22" s="2" t="s">
        <v>27</v>
      </c>
    </row>
    <row r="23" customFormat="false" ht="46.25" hidden="false" customHeight="false" outlineLevel="0" collapsed="false">
      <c r="A23" s="4" t="n">
        <v>22</v>
      </c>
      <c r="B23" s="5" t="s">
        <v>56</v>
      </c>
      <c r="C23" s="4" t="s">
        <v>45</v>
      </c>
      <c r="D23" s="5" t="s">
        <v>123</v>
      </c>
      <c r="E23" s="5" t="s">
        <v>124</v>
      </c>
      <c r="F23" s="5" t="s">
        <v>125</v>
      </c>
      <c r="G23" s="5" t="s">
        <v>126</v>
      </c>
      <c r="H23" s="5" t="s">
        <v>127</v>
      </c>
      <c r="I23" s="4" t="s">
        <v>27</v>
      </c>
    </row>
    <row r="24" customFormat="false" ht="23.85" hidden="false" customHeight="false" outlineLevel="0" collapsed="false">
      <c r="A24" s="2" t="n">
        <v>23</v>
      </c>
      <c r="B24" s="3" t="s">
        <v>128</v>
      </c>
      <c r="C24" s="2" t="s">
        <v>10</v>
      </c>
      <c r="D24" s="3" t="s">
        <v>129</v>
      </c>
      <c r="E24" s="3" t="s">
        <v>130</v>
      </c>
      <c r="F24" s="3" t="s">
        <v>131</v>
      </c>
      <c r="G24" s="3" t="s">
        <v>132</v>
      </c>
      <c r="H24" s="3" t="s">
        <v>133</v>
      </c>
      <c r="I24" s="2" t="s">
        <v>34</v>
      </c>
    </row>
    <row r="25" customFormat="false" ht="15" hidden="false" customHeight="false" outlineLevel="0" collapsed="false">
      <c r="A25" s="4" t="n">
        <v>24</v>
      </c>
      <c r="B25" s="5" t="s">
        <v>128</v>
      </c>
      <c r="C25" s="4" t="s">
        <v>10</v>
      </c>
      <c r="D25" s="5" t="s">
        <v>134</v>
      </c>
      <c r="E25" s="5" t="s">
        <v>135</v>
      </c>
      <c r="F25" s="5" t="s">
        <v>136</v>
      </c>
      <c r="G25" s="5" t="s">
        <v>137</v>
      </c>
      <c r="H25" s="5" t="s">
        <v>138</v>
      </c>
      <c r="I25" s="4" t="s">
        <v>62</v>
      </c>
    </row>
    <row r="26" customFormat="false" ht="15" hidden="false" customHeight="false" outlineLevel="0" collapsed="false">
      <c r="A26" s="2" t="n">
        <v>25</v>
      </c>
      <c r="B26" s="3" t="s">
        <v>128</v>
      </c>
      <c r="C26" s="2" t="s">
        <v>10</v>
      </c>
      <c r="D26" s="3" t="s">
        <v>139</v>
      </c>
      <c r="E26" s="3" t="s">
        <v>140</v>
      </c>
      <c r="F26" s="3" t="s">
        <v>141</v>
      </c>
      <c r="G26" s="3" t="s">
        <v>142</v>
      </c>
      <c r="H26" s="3" t="s">
        <v>143</v>
      </c>
      <c r="I26" s="2" t="s">
        <v>62</v>
      </c>
    </row>
    <row r="27" customFormat="false" ht="15" hidden="false" customHeight="false" outlineLevel="0" collapsed="false">
      <c r="A27" s="4" t="n">
        <v>26</v>
      </c>
      <c r="B27" s="5" t="s">
        <v>128</v>
      </c>
      <c r="C27" s="4" t="s">
        <v>10</v>
      </c>
      <c r="D27" s="5" t="s">
        <v>144</v>
      </c>
      <c r="E27" s="5" t="s">
        <v>145</v>
      </c>
      <c r="F27" s="5" t="s">
        <v>146</v>
      </c>
      <c r="G27" s="5" t="s">
        <v>147</v>
      </c>
      <c r="H27" s="5" t="s">
        <v>148</v>
      </c>
      <c r="I27" s="4" t="s">
        <v>34</v>
      </c>
    </row>
    <row r="28" customFormat="false" ht="23.85" hidden="false" customHeight="false" outlineLevel="0" collapsed="false">
      <c r="A28" s="2" t="n">
        <v>27</v>
      </c>
      <c r="B28" s="3" t="s">
        <v>128</v>
      </c>
      <c r="C28" s="2" t="s">
        <v>28</v>
      </c>
      <c r="D28" s="3" t="s">
        <v>149</v>
      </c>
      <c r="E28" s="3" t="s">
        <v>150</v>
      </c>
      <c r="F28" s="3" t="s">
        <v>151</v>
      </c>
      <c r="G28" s="3" t="s">
        <v>152</v>
      </c>
      <c r="H28" s="3" t="s">
        <v>153</v>
      </c>
      <c r="I28" s="2" t="s">
        <v>62</v>
      </c>
    </row>
    <row r="29" customFormat="false" ht="23.85" hidden="false" customHeight="false" outlineLevel="0" collapsed="false">
      <c r="A29" s="4" t="n">
        <v>28</v>
      </c>
      <c r="B29" s="5" t="s">
        <v>128</v>
      </c>
      <c r="C29" s="4" t="s">
        <v>28</v>
      </c>
      <c r="D29" s="5" t="s">
        <v>154</v>
      </c>
      <c r="E29" s="5" t="s">
        <v>155</v>
      </c>
      <c r="F29" s="5" t="s">
        <v>156</v>
      </c>
      <c r="G29" s="5" t="s">
        <v>157</v>
      </c>
      <c r="H29" s="5" t="s">
        <v>158</v>
      </c>
      <c r="I29" s="4" t="s">
        <v>34</v>
      </c>
    </row>
    <row r="30" customFormat="false" ht="23.85" hidden="false" customHeight="false" outlineLevel="0" collapsed="false">
      <c r="A30" s="2" t="n">
        <v>29</v>
      </c>
      <c r="B30" s="3" t="s">
        <v>128</v>
      </c>
      <c r="C30" s="2" t="s">
        <v>28</v>
      </c>
      <c r="D30" s="3" t="s">
        <v>159</v>
      </c>
      <c r="E30" s="3" t="s">
        <v>160</v>
      </c>
      <c r="F30" s="3" t="s">
        <v>161</v>
      </c>
      <c r="G30" s="3" t="s">
        <v>162</v>
      </c>
      <c r="H30" s="3" t="s">
        <v>163</v>
      </c>
      <c r="I30" s="2" t="s">
        <v>16</v>
      </c>
    </row>
    <row r="31" customFormat="false" ht="23.85" hidden="false" customHeight="false" outlineLevel="0" collapsed="false">
      <c r="A31" s="4" t="n">
        <v>30</v>
      </c>
      <c r="B31" s="5" t="s">
        <v>128</v>
      </c>
      <c r="C31" s="4" t="s">
        <v>28</v>
      </c>
      <c r="D31" s="5" t="s">
        <v>164</v>
      </c>
      <c r="E31" s="5" t="s">
        <v>165</v>
      </c>
      <c r="F31" s="5" t="s">
        <v>166</v>
      </c>
      <c r="G31" s="5" t="s">
        <v>167</v>
      </c>
      <c r="H31" s="5" t="s">
        <v>168</v>
      </c>
      <c r="I31" s="4" t="s">
        <v>16</v>
      </c>
    </row>
    <row r="32" customFormat="false" ht="23.85" hidden="false" customHeight="false" outlineLevel="0" collapsed="false">
      <c r="A32" s="2" t="n">
        <v>31</v>
      </c>
      <c r="B32" s="3" t="s">
        <v>128</v>
      </c>
      <c r="C32" s="2" t="s">
        <v>28</v>
      </c>
      <c r="D32" s="3" t="s">
        <v>169</v>
      </c>
      <c r="E32" s="3" t="s">
        <v>170</v>
      </c>
      <c r="F32" s="3" t="s">
        <v>171</v>
      </c>
      <c r="G32" s="3" t="s">
        <v>172</v>
      </c>
      <c r="H32" s="3" t="s">
        <v>173</v>
      </c>
      <c r="I32" s="2" t="s">
        <v>27</v>
      </c>
    </row>
    <row r="33" customFormat="false" ht="23.85" hidden="false" customHeight="false" outlineLevel="0" collapsed="false">
      <c r="A33" s="4" t="n">
        <v>32</v>
      </c>
      <c r="B33" s="5" t="s">
        <v>128</v>
      </c>
      <c r="C33" s="4" t="s">
        <v>28</v>
      </c>
      <c r="D33" s="5" t="s">
        <v>174</v>
      </c>
      <c r="E33" s="5" t="s">
        <v>175</v>
      </c>
      <c r="F33" s="5" t="s">
        <v>176</v>
      </c>
      <c r="G33" s="5" t="s">
        <v>177</v>
      </c>
      <c r="H33" s="5" t="s">
        <v>178</v>
      </c>
      <c r="I33" s="4" t="s">
        <v>27</v>
      </c>
    </row>
    <row r="34" customFormat="false" ht="46.25" hidden="false" customHeight="false" outlineLevel="0" collapsed="false">
      <c r="A34" s="2" t="n">
        <v>33</v>
      </c>
      <c r="B34" s="3" t="s">
        <v>128</v>
      </c>
      <c r="C34" s="2" t="s">
        <v>45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2" t="s">
        <v>16</v>
      </c>
    </row>
    <row r="35" customFormat="false" ht="46.25" hidden="false" customHeight="false" outlineLevel="0" collapsed="false">
      <c r="A35" s="4" t="n">
        <v>34</v>
      </c>
      <c r="B35" s="5" t="s">
        <v>128</v>
      </c>
      <c r="C35" s="4" t="s">
        <v>45</v>
      </c>
      <c r="D35" s="5" t="s">
        <v>184</v>
      </c>
      <c r="E35" s="5" t="s">
        <v>185</v>
      </c>
      <c r="F35" s="5" t="s">
        <v>186</v>
      </c>
      <c r="G35" s="5" t="s">
        <v>187</v>
      </c>
      <c r="H35" s="5" t="s">
        <v>188</v>
      </c>
      <c r="I35" s="4" t="s">
        <v>34</v>
      </c>
    </row>
    <row r="36" customFormat="false" ht="35.05" hidden="false" customHeight="false" outlineLevel="0" collapsed="false">
      <c r="A36" s="2" t="n">
        <v>35</v>
      </c>
      <c r="B36" s="3" t="s">
        <v>128</v>
      </c>
      <c r="C36" s="2" t="s">
        <v>45</v>
      </c>
      <c r="D36" s="3" t="s">
        <v>189</v>
      </c>
      <c r="E36" s="3" t="s">
        <v>190</v>
      </c>
      <c r="F36" s="3" t="s">
        <v>191</v>
      </c>
      <c r="G36" s="3" t="s">
        <v>192</v>
      </c>
      <c r="H36" s="3" t="s">
        <v>193</v>
      </c>
      <c r="I36" s="2" t="s">
        <v>34</v>
      </c>
    </row>
    <row r="37" customFormat="false" ht="35.05" hidden="false" customHeight="false" outlineLevel="0" collapsed="false">
      <c r="A37" s="4" t="n">
        <v>36</v>
      </c>
      <c r="B37" s="5" t="s">
        <v>128</v>
      </c>
      <c r="C37" s="4" t="s">
        <v>45</v>
      </c>
      <c r="D37" s="5" t="s">
        <v>194</v>
      </c>
      <c r="E37" s="5" t="s">
        <v>195</v>
      </c>
      <c r="F37" s="5" t="s">
        <v>196</v>
      </c>
      <c r="G37" s="5" t="s">
        <v>197</v>
      </c>
      <c r="H37" s="5" t="s">
        <v>198</v>
      </c>
      <c r="I37" s="4" t="s">
        <v>34</v>
      </c>
    </row>
    <row r="38" customFormat="false" ht="23.85" hidden="false" customHeight="false" outlineLevel="0" collapsed="false">
      <c r="A38" s="2" t="n">
        <v>37</v>
      </c>
      <c r="B38" s="3" t="s">
        <v>199</v>
      </c>
      <c r="C38" s="2" t="s">
        <v>10</v>
      </c>
      <c r="D38" s="3" t="s">
        <v>200</v>
      </c>
      <c r="E38" s="3" t="s">
        <v>201</v>
      </c>
      <c r="F38" s="3" t="s">
        <v>202</v>
      </c>
      <c r="G38" s="3" t="s">
        <v>203</v>
      </c>
      <c r="H38" s="3" t="s">
        <v>204</v>
      </c>
      <c r="I38" s="2" t="s">
        <v>34</v>
      </c>
    </row>
    <row r="39" customFormat="false" ht="23.85" hidden="false" customHeight="false" outlineLevel="0" collapsed="false">
      <c r="A39" s="4" t="n">
        <v>38</v>
      </c>
      <c r="B39" s="5" t="s">
        <v>199</v>
      </c>
      <c r="C39" s="4" t="s">
        <v>10</v>
      </c>
      <c r="D39" s="5" t="s">
        <v>205</v>
      </c>
      <c r="E39" s="5" t="s">
        <v>206</v>
      </c>
      <c r="F39" s="5" t="s">
        <v>207</v>
      </c>
      <c r="G39" s="5" t="s">
        <v>208</v>
      </c>
      <c r="H39" s="5" t="s">
        <v>209</v>
      </c>
      <c r="I39" s="4" t="s">
        <v>62</v>
      </c>
    </row>
    <row r="40" customFormat="false" ht="23.85" hidden="false" customHeight="false" outlineLevel="0" collapsed="false">
      <c r="A40" s="2" t="n">
        <v>39</v>
      </c>
      <c r="B40" s="3" t="s">
        <v>199</v>
      </c>
      <c r="C40" s="2" t="s">
        <v>10</v>
      </c>
      <c r="D40" s="3" t="s">
        <v>210</v>
      </c>
      <c r="E40" s="3" t="s">
        <v>211</v>
      </c>
      <c r="F40" s="3" t="s">
        <v>212</v>
      </c>
      <c r="G40" s="3" t="s">
        <v>213</v>
      </c>
      <c r="H40" s="3" t="s">
        <v>214</v>
      </c>
      <c r="I40" s="2" t="s">
        <v>34</v>
      </c>
    </row>
    <row r="41" customFormat="false" ht="35.05" hidden="false" customHeight="false" outlineLevel="0" collapsed="false">
      <c r="A41" s="4" t="n">
        <v>40</v>
      </c>
      <c r="B41" s="5" t="s">
        <v>199</v>
      </c>
      <c r="C41" s="4" t="s">
        <v>28</v>
      </c>
      <c r="D41" s="5" t="s">
        <v>215</v>
      </c>
      <c r="E41" s="5" t="s">
        <v>216</v>
      </c>
      <c r="F41" s="5" t="s">
        <v>217</v>
      </c>
      <c r="G41" s="5" t="s">
        <v>218</v>
      </c>
      <c r="H41" s="5" t="s">
        <v>219</v>
      </c>
      <c r="I41" s="4" t="s">
        <v>16</v>
      </c>
    </row>
    <row r="42" customFormat="false" ht="35.05" hidden="false" customHeight="false" outlineLevel="0" collapsed="false">
      <c r="A42" s="2" t="n">
        <v>41</v>
      </c>
      <c r="B42" s="3" t="s">
        <v>199</v>
      </c>
      <c r="C42" s="2" t="s">
        <v>28</v>
      </c>
      <c r="D42" s="3" t="s">
        <v>220</v>
      </c>
      <c r="E42" s="3" t="s">
        <v>221</v>
      </c>
      <c r="F42" s="3" t="s">
        <v>222</v>
      </c>
      <c r="G42" s="3" t="s">
        <v>223</v>
      </c>
      <c r="H42" s="3" t="s">
        <v>224</v>
      </c>
      <c r="I42" s="2" t="s">
        <v>16</v>
      </c>
    </row>
    <row r="43" customFormat="false" ht="35.05" hidden="false" customHeight="false" outlineLevel="0" collapsed="false">
      <c r="A43" s="4" t="n">
        <v>42</v>
      </c>
      <c r="B43" s="5" t="s">
        <v>199</v>
      </c>
      <c r="C43" s="4" t="s">
        <v>28</v>
      </c>
      <c r="D43" s="5" t="s">
        <v>225</v>
      </c>
      <c r="E43" s="5" t="s">
        <v>226</v>
      </c>
      <c r="F43" s="5" t="s">
        <v>227</v>
      </c>
      <c r="G43" s="5" t="s">
        <v>228</v>
      </c>
      <c r="H43" s="5" t="s">
        <v>229</v>
      </c>
      <c r="I43" s="4" t="s">
        <v>16</v>
      </c>
    </row>
    <row r="44" customFormat="false" ht="46.25" hidden="false" customHeight="false" outlineLevel="0" collapsed="false">
      <c r="A44" s="2" t="n">
        <v>43</v>
      </c>
      <c r="B44" s="3" t="s">
        <v>199</v>
      </c>
      <c r="C44" s="2" t="s">
        <v>45</v>
      </c>
      <c r="D44" s="3" t="s">
        <v>230</v>
      </c>
      <c r="E44" s="3" t="s">
        <v>231</v>
      </c>
      <c r="F44" s="3" t="s">
        <v>232</v>
      </c>
      <c r="G44" s="3" t="s">
        <v>233</v>
      </c>
      <c r="H44" s="3" t="s">
        <v>234</v>
      </c>
      <c r="I44" s="2" t="s">
        <v>16</v>
      </c>
    </row>
    <row r="45" customFormat="false" ht="46.25" hidden="false" customHeight="false" outlineLevel="0" collapsed="false">
      <c r="A45" s="4" t="n">
        <v>44</v>
      </c>
      <c r="B45" s="5" t="s">
        <v>199</v>
      </c>
      <c r="C45" s="4" t="s">
        <v>45</v>
      </c>
      <c r="D45" s="5" t="s">
        <v>235</v>
      </c>
      <c r="E45" s="5" t="s">
        <v>236</v>
      </c>
      <c r="F45" s="5" t="s">
        <v>237</v>
      </c>
      <c r="G45" s="5" t="s">
        <v>238</v>
      </c>
      <c r="H45" s="5" t="s">
        <v>239</v>
      </c>
      <c r="I45" s="4" t="s">
        <v>27</v>
      </c>
    </row>
    <row r="46" customFormat="false" ht="35.05" hidden="false" customHeight="false" outlineLevel="0" collapsed="false">
      <c r="A46" s="2" t="n">
        <v>45</v>
      </c>
      <c r="B46" s="3" t="s">
        <v>240</v>
      </c>
      <c r="C46" s="2" t="s">
        <v>10</v>
      </c>
      <c r="D46" s="3" t="s">
        <v>241</v>
      </c>
      <c r="E46" s="3" t="s">
        <v>242</v>
      </c>
      <c r="F46" s="3" t="s">
        <v>243</v>
      </c>
      <c r="G46" s="3" t="s">
        <v>244</v>
      </c>
      <c r="H46" s="3" t="s">
        <v>245</v>
      </c>
      <c r="I46" s="2" t="s">
        <v>16</v>
      </c>
    </row>
    <row r="47" customFormat="false" ht="15" hidden="false" customHeight="false" outlineLevel="0" collapsed="false">
      <c r="A47" s="4" t="n">
        <v>46</v>
      </c>
      <c r="B47" s="5" t="s">
        <v>240</v>
      </c>
      <c r="C47" s="4" t="s">
        <v>10</v>
      </c>
      <c r="D47" s="5" t="s">
        <v>246</v>
      </c>
      <c r="E47" s="5" t="s">
        <v>247</v>
      </c>
      <c r="F47" s="5" t="s">
        <v>248</v>
      </c>
      <c r="G47" s="5" t="s">
        <v>249</v>
      </c>
      <c r="H47" s="5" t="s">
        <v>250</v>
      </c>
      <c r="I47" s="4" t="s">
        <v>27</v>
      </c>
    </row>
    <row r="48" customFormat="false" ht="23.85" hidden="false" customHeight="false" outlineLevel="0" collapsed="false">
      <c r="A48" s="2" t="n">
        <v>47</v>
      </c>
      <c r="B48" s="3" t="s">
        <v>240</v>
      </c>
      <c r="C48" s="2" t="s">
        <v>10</v>
      </c>
      <c r="D48" s="3" t="s">
        <v>251</v>
      </c>
      <c r="E48" s="3" t="s">
        <v>252</v>
      </c>
      <c r="F48" s="3" t="s">
        <v>253</v>
      </c>
      <c r="G48" s="3" t="s">
        <v>254</v>
      </c>
      <c r="H48" s="3" t="s">
        <v>255</v>
      </c>
      <c r="I48" s="2" t="s">
        <v>16</v>
      </c>
    </row>
    <row r="49" customFormat="false" ht="23.85" hidden="false" customHeight="false" outlineLevel="0" collapsed="false">
      <c r="A49" s="4" t="n">
        <v>48</v>
      </c>
      <c r="B49" s="5" t="s">
        <v>240</v>
      </c>
      <c r="C49" s="4" t="s">
        <v>10</v>
      </c>
      <c r="D49" s="5" t="s">
        <v>256</v>
      </c>
      <c r="E49" s="5" t="s">
        <v>257</v>
      </c>
      <c r="F49" s="5" t="s">
        <v>258</v>
      </c>
      <c r="G49" s="5" t="s">
        <v>259</v>
      </c>
      <c r="H49" s="5" t="s">
        <v>260</v>
      </c>
      <c r="I49" s="4" t="s">
        <v>34</v>
      </c>
    </row>
    <row r="50" customFormat="false" ht="23.85" hidden="false" customHeight="false" outlineLevel="0" collapsed="false">
      <c r="A50" s="2" t="n">
        <v>49</v>
      </c>
      <c r="B50" s="3" t="s">
        <v>240</v>
      </c>
      <c r="C50" s="2" t="s">
        <v>28</v>
      </c>
      <c r="D50" s="3" t="s">
        <v>261</v>
      </c>
      <c r="E50" s="3" t="s">
        <v>262</v>
      </c>
      <c r="F50" s="3" t="s">
        <v>263</v>
      </c>
      <c r="G50" s="3" t="s">
        <v>264</v>
      </c>
      <c r="H50" s="3" t="s">
        <v>265</v>
      </c>
      <c r="I50" s="2" t="s">
        <v>16</v>
      </c>
    </row>
    <row r="51" customFormat="false" ht="23.85" hidden="false" customHeight="false" outlineLevel="0" collapsed="false">
      <c r="A51" s="4" t="n">
        <v>50</v>
      </c>
      <c r="B51" s="5" t="s">
        <v>240</v>
      </c>
      <c r="C51" s="4" t="s">
        <v>28</v>
      </c>
      <c r="D51" s="5" t="s">
        <v>266</v>
      </c>
      <c r="E51" s="5" t="s">
        <v>267</v>
      </c>
      <c r="F51" s="5" t="s">
        <v>268</v>
      </c>
      <c r="G51" s="5" t="s">
        <v>269</v>
      </c>
      <c r="H51" s="5" t="s">
        <v>270</v>
      </c>
      <c r="I51" s="4" t="s">
        <v>34</v>
      </c>
    </row>
    <row r="52" customFormat="false" ht="35.05" hidden="false" customHeight="false" outlineLevel="0" collapsed="false">
      <c r="A52" s="2" t="n">
        <v>51</v>
      </c>
      <c r="B52" s="3" t="s">
        <v>240</v>
      </c>
      <c r="C52" s="2" t="s">
        <v>28</v>
      </c>
      <c r="D52" s="3" t="s">
        <v>271</v>
      </c>
      <c r="E52" s="3" t="s">
        <v>272</v>
      </c>
      <c r="F52" s="3" t="s">
        <v>273</v>
      </c>
      <c r="G52" s="3" t="s">
        <v>274</v>
      </c>
      <c r="H52" s="3" t="s">
        <v>275</v>
      </c>
      <c r="I52" s="2" t="s">
        <v>27</v>
      </c>
    </row>
    <row r="53" customFormat="false" ht="23.85" hidden="false" customHeight="false" outlineLevel="0" collapsed="false">
      <c r="A53" s="4" t="n">
        <v>52</v>
      </c>
      <c r="B53" s="5" t="s">
        <v>240</v>
      </c>
      <c r="C53" s="4" t="s">
        <v>28</v>
      </c>
      <c r="D53" s="5" t="s">
        <v>276</v>
      </c>
      <c r="E53" s="5" t="s">
        <v>277</v>
      </c>
      <c r="F53" s="5" t="s">
        <v>278</v>
      </c>
      <c r="G53" s="5" t="s">
        <v>279</v>
      </c>
      <c r="H53" s="5" t="s">
        <v>280</v>
      </c>
      <c r="I53" s="4" t="s">
        <v>34</v>
      </c>
    </row>
    <row r="54" customFormat="false" ht="46.25" hidden="false" customHeight="false" outlineLevel="0" collapsed="false">
      <c r="A54" s="2" t="n">
        <v>53</v>
      </c>
      <c r="B54" s="3" t="s">
        <v>240</v>
      </c>
      <c r="C54" s="2" t="s">
        <v>45</v>
      </c>
      <c r="D54" s="3" t="s">
        <v>281</v>
      </c>
      <c r="E54" s="3" t="s">
        <v>282</v>
      </c>
      <c r="F54" s="3" t="s">
        <v>283</v>
      </c>
      <c r="G54" s="3" t="s">
        <v>284</v>
      </c>
      <c r="H54" s="3" t="s">
        <v>285</v>
      </c>
      <c r="I54" s="2" t="s">
        <v>27</v>
      </c>
    </row>
    <row r="55" customFormat="false" ht="35.05" hidden="false" customHeight="false" outlineLevel="0" collapsed="false">
      <c r="A55" s="4" t="n">
        <v>54</v>
      </c>
      <c r="B55" s="5" t="s">
        <v>240</v>
      </c>
      <c r="C55" s="4" t="s">
        <v>45</v>
      </c>
      <c r="D55" s="5" t="s">
        <v>286</v>
      </c>
      <c r="E55" s="5" t="s">
        <v>287</v>
      </c>
      <c r="F55" s="5" t="s">
        <v>288</v>
      </c>
      <c r="G55" s="5" t="s">
        <v>289</v>
      </c>
      <c r="H55" s="5" t="s">
        <v>290</v>
      </c>
      <c r="I55" s="4" t="s">
        <v>27</v>
      </c>
    </row>
    <row r="56" customFormat="false" ht="57.45" hidden="false" customHeight="false" outlineLevel="0" collapsed="false">
      <c r="A56" s="2" t="n">
        <v>55</v>
      </c>
      <c r="B56" s="3" t="s">
        <v>240</v>
      </c>
      <c r="C56" s="2" t="s">
        <v>45</v>
      </c>
      <c r="D56" s="3" t="s">
        <v>291</v>
      </c>
      <c r="E56" s="3" t="s">
        <v>292</v>
      </c>
      <c r="F56" s="3" t="s">
        <v>293</v>
      </c>
      <c r="G56" s="3" t="s">
        <v>294</v>
      </c>
      <c r="H56" s="3" t="s">
        <v>295</v>
      </c>
      <c r="I56" s="2" t="s">
        <v>27</v>
      </c>
    </row>
    <row r="57" customFormat="false" ht="46.25" hidden="false" customHeight="false" outlineLevel="0" collapsed="false">
      <c r="A57" s="4" t="n">
        <v>56</v>
      </c>
      <c r="B57" s="5" t="s">
        <v>240</v>
      </c>
      <c r="C57" s="4" t="s">
        <v>45</v>
      </c>
      <c r="D57" s="5" t="s">
        <v>296</v>
      </c>
      <c r="E57" s="5" t="s">
        <v>297</v>
      </c>
      <c r="F57" s="5" t="s">
        <v>298</v>
      </c>
      <c r="G57" s="5" t="s">
        <v>299</v>
      </c>
      <c r="H57" s="5" t="s">
        <v>300</v>
      </c>
      <c r="I57" s="4" t="s">
        <v>62</v>
      </c>
    </row>
    <row r="58" customFormat="false" ht="23.85" hidden="false" customHeight="false" outlineLevel="0" collapsed="false">
      <c r="A58" s="2" t="n">
        <v>57</v>
      </c>
      <c r="B58" s="3" t="s">
        <v>301</v>
      </c>
      <c r="C58" s="2" t="s">
        <v>10</v>
      </c>
      <c r="D58" s="3" t="s">
        <v>302</v>
      </c>
      <c r="E58" s="3" t="s">
        <v>303</v>
      </c>
      <c r="F58" s="3" t="s">
        <v>304</v>
      </c>
      <c r="G58" s="3" t="s">
        <v>305</v>
      </c>
      <c r="H58" s="3" t="s">
        <v>306</v>
      </c>
      <c r="I58" s="2" t="s">
        <v>16</v>
      </c>
    </row>
    <row r="59" customFormat="false" ht="23.85" hidden="false" customHeight="false" outlineLevel="0" collapsed="false">
      <c r="A59" s="4" t="n">
        <v>58</v>
      </c>
      <c r="B59" s="5" t="s">
        <v>301</v>
      </c>
      <c r="C59" s="4" t="s">
        <v>10</v>
      </c>
      <c r="D59" s="5" t="s">
        <v>307</v>
      </c>
      <c r="E59" s="5" t="s">
        <v>308</v>
      </c>
      <c r="F59" s="5" t="s">
        <v>309</v>
      </c>
      <c r="G59" s="5" t="s">
        <v>310</v>
      </c>
      <c r="H59" s="5" t="s">
        <v>311</v>
      </c>
      <c r="I59" s="4" t="s">
        <v>27</v>
      </c>
    </row>
    <row r="60" customFormat="false" ht="23.85" hidden="false" customHeight="false" outlineLevel="0" collapsed="false">
      <c r="A60" s="2" t="n">
        <v>59</v>
      </c>
      <c r="B60" s="3" t="s">
        <v>301</v>
      </c>
      <c r="C60" s="2" t="s">
        <v>28</v>
      </c>
      <c r="D60" s="3" t="s">
        <v>312</v>
      </c>
      <c r="E60" s="3" t="s">
        <v>313</v>
      </c>
      <c r="F60" s="3" t="s">
        <v>314</v>
      </c>
      <c r="G60" s="3" t="s">
        <v>315</v>
      </c>
      <c r="H60" s="3" t="s">
        <v>316</v>
      </c>
      <c r="I60" s="2" t="s">
        <v>62</v>
      </c>
    </row>
    <row r="61" customFormat="false" ht="23.85" hidden="false" customHeight="false" outlineLevel="0" collapsed="false">
      <c r="A61" s="4" t="n">
        <v>60</v>
      </c>
      <c r="B61" s="5" t="s">
        <v>301</v>
      </c>
      <c r="C61" s="4" t="s">
        <v>28</v>
      </c>
      <c r="D61" s="5" t="s">
        <v>317</v>
      </c>
      <c r="E61" s="5" t="s">
        <v>318</v>
      </c>
      <c r="F61" s="5" t="s">
        <v>319</v>
      </c>
      <c r="G61" s="5" t="s">
        <v>320</v>
      </c>
      <c r="H61" s="5" t="s">
        <v>321</v>
      </c>
      <c r="I61" s="4" t="s">
        <v>27</v>
      </c>
    </row>
    <row r="62" customFormat="false" ht="23.85" hidden="false" customHeight="false" outlineLevel="0" collapsed="false">
      <c r="A62" s="2" t="n">
        <v>61</v>
      </c>
      <c r="B62" s="3" t="s">
        <v>301</v>
      </c>
      <c r="C62" s="2" t="s">
        <v>28</v>
      </c>
      <c r="D62" s="3" t="s">
        <v>322</v>
      </c>
      <c r="E62" s="3" t="s">
        <v>323</v>
      </c>
      <c r="F62" s="3" t="s">
        <v>324</v>
      </c>
      <c r="G62" s="3" t="s">
        <v>325</v>
      </c>
      <c r="H62" s="3" t="s">
        <v>326</v>
      </c>
      <c r="I62" s="2" t="s">
        <v>34</v>
      </c>
    </row>
    <row r="63" customFormat="false" ht="35.05" hidden="false" customHeight="false" outlineLevel="0" collapsed="false">
      <c r="A63" s="4" t="n">
        <v>62</v>
      </c>
      <c r="B63" s="5" t="s">
        <v>301</v>
      </c>
      <c r="C63" s="4" t="s">
        <v>45</v>
      </c>
      <c r="D63" s="5" t="s">
        <v>327</v>
      </c>
      <c r="E63" s="5" t="s">
        <v>328</v>
      </c>
      <c r="F63" s="5" t="s">
        <v>329</v>
      </c>
      <c r="G63" s="5" t="s">
        <v>330</v>
      </c>
      <c r="H63" s="5" t="s">
        <v>331</v>
      </c>
      <c r="I63" s="4" t="s">
        <v>27</v>
      </c>
    </row>
    <row r="64" customFormat="false" ht="23.85" hidden="false" customHeight="false" outlineLevel="0" collapsed="false">
      <c r="A64" s="2" t="n">
        <v>63</v>
      </c>
      <c r="B64" s="3" t="s">
        <v>332</v>
      </c>
      <c r="C64" s="2" t="s">
        <v>10</v>
      </c>
      <c r="D64" s="3" t="s">
        <v>333</v>
      </c>
      <c r="E64" s="3" t="s">
        <v>334</v>
      </c>
      <c r="F64" s="3" t="s">
        <v>335</v>
      </c>
      <c r="G64" s="3" t="s">
        <v>336</v>
      </c>
      <c r="H64" s="3" t="s">
        <v>337</v>
      </c>
      <c r="I64" s="2" t="s">
        <v>34</v>
      </c>
    </row>
    <row r="65" customFormat="false" ht="23.85" hidden="false" customHeight="false" outlineLevel="0" collapsed="false">
      <c r="A65" s="4" t="n">
        <v>64</v>
      </c>
      <c r="B65" s="5" t="s">
        <v>332</v>
      </c>
      <c r="C65" s="4" t="s">
        <v>28</v>
      </c>
      <c r="D65" s="5" t="s">
        <v>338</v>
      </c>
      <c r="E65" s="5" t="s">
        <v>339</v>
      </c>
      <c r="F65" s="5" t="s">
        <v>340</v>
      </c>
      <c r="G65" s="5" t="s">
        <v>341</v>
      </c>
      <c r="H65" s="5" t="s">
        <v>342</v>
      </c>
      <c r="I65" s="4" t="s">
        <v>16</v>
      </c>
    </row>
    <row r="66" customFormat="false" ht="23.85" hidden="false" customHeight="false" outlineLevel="0" collapsed="false">
      <c r="A66" s="2" t="n">
        <v>65</v>
      </c>
      <c r="B66" s="3" t="s">
        <v>332</v>
      </c>
      <c r="C66" s="2" t="s">
        <v>28</v>
      </c>
      <c r="D66" s="3" t="s">
        <v>343</v>
      </c>
      <c r="E66" s="3" t="s">
        <v>344</v>
      </c>
      <c r="F66" s="3" t="s">
        <v>345</v>
      </c>
      <c r="G66" s="3" t="s">
        <v>346</v>
      </c>
      <c r="H66" s="3" t="s">
        <v>347</v>
      </c>
      <c r="I66" s="2" t="s">
        <v>27</v>
      </c>
    </row>
    <row r="67" customFormat="false" ht="35.05" hidden="false" customHeight="false" outlineLevel="0" collapsed="false">
      <c r="A67" s="4" t="n">
        <v>66</v>
      </c>
      <c r="B67" s="5" t="s">
        <v>332</v>
      </c>
      <c r="C67" s="4" t="s">
        <v>45</v>
      </c>
      <c r="D67" s="5" t="s">
        <v>348</v>
      </c>
      <c r="E67" s="5" t="s">
        <v>349</v>
      </c>
      <c r="F67" s="5" t="s">
        <v>350</v>
      </c>
      <c r="G67" s="5" t="s">
        <v>351</v>
      </c>
      <c r="H67" s="5" t="s">
        <v>352</v>
      </c>
      <c r="I67" s="4" t="s">
        <v>16</v>
      </c>
    </row>
    <row r="68" customFormat="false" ht="57.45" hidden="false" customHeight="false" outlineLevel="0" collapsed="false">
      <c r="A68" s="2" t="n">
        <v>67</v>
      </c>
      <c r="B68" s="3" t="s">
        <v>332</v>
      </c>
      <c r="C68" s="2" t="s">
        <v>45</v>
      </c>
      <c r="D68" s="3" t="s">
        <v>353</v>
      </c>
      <c r="E68" s="3" t="s">
        <v>354</v>
      </c>
      <c r="F68" s="3" t="s">
        <v>355</v>
      </c>
      <c r="G68" s="3" t="s">
        <v>356</v>
      </c>
      <c r="H68" s="3" t="s">
        <v>357</v>
      </c>
      <c r="I68" s="2" t="s">
        <v>34</v>
      </c>
    </row>
    <row r="69" customFormat="false" ht="15" hidden="false" customHeight="false" outlineLevel="0" collapsed="false">
      <c r="A69" s="4" t="n">
        <v>68</v>
      </c>
      <c r="B69" s="5" t="s">
        <v>358</v>
      </c>
      <c r="C69" s="4" t="s">
        <v>10</v>
      </c>
      <c r="D69" s="5" t="s">
        <v>359</v>
      </c>
      <c r="E69" s="5" t="s">
        <v>360</v>
      </c>
      <c r="F69" s="5" t="s">
        <v>361</v>
      </c>
      <c r="G69" s="5" t="s">
        <v>362</v>
      </c>
      <c r="H69" s="5" t="s">
        <v>363</v>
      </c>
      <c r="I69" s="4" t="s">
        <v>27</v>
      </c>
    </row>
    <row r="70" customFormat="false" ht="15" hidden="false" customHeight="false" outlineLevel="0" collapsed="false">
      <c r="A70" s="2" t="n">
        <v>69</v>
      </c>
      <c r="B70" s="3" t="s">
        <v>358</v>
      </c>
      <c r="C70" s="2" t="s">
        <v>10</v>
      </c>
      <c r="D70" s="3" t="s">
        <v>364</v>
      </c>
      <c r="E70" s="3" t="s">
        <v>365</v>
      </c>
      <c r="F70" s="3" t="s">
        <v>366</v>
      </c>
      <c r="G70" s="3" t="s">
        <v>367</v>
      </c>
      <c r="H70" s="3" t="s">
        <v>368</v>
      </c>
      <c r="I70" s="2" t="s">
        <v>62</v>
      </c>
    </row>
    <row r="71" customFormat="false" ht="23.85" hidden="false" customHeight="false" outlineLevel="0" collapsed="false">
      <c r="A71" s="4" t="n">
        <v>70</v>
      </c>
      <c r="B71" s="5" t="s">
        <v>358</v>
      </c>
      <c r="C71" s="4" t="s">
        <v>28</v>
      </c>
      <c r="D71" s="5" t="s">
        <v>369</v>
      </c>
      <c r="E71" s="5" t="s">
        <v>370</v>
      </c>
      <c r="F71" s="5" t="s">
        <v>371</v>
      </c>
      <c r="G71" s="5" t="s">
        <v>372</v>
      </c>
      <c r="H71" s="5" t="s">
        <v>373</v>
      </c>
      <c r="I71" s="4" t="s">
        <v>34</v>
      </c>
    </row>
    <row r="72" customFormat="false" ht="35.05" hidden="false" customHeight="false" outlineLevel="0" collapsed="false">
      <c r="A72" s="2" t="n">
        <v>71</v>
      </c>
      <c r="B72" s="3" t="s">
        <v>358</v>
      </c>
      <c r="C72" s="2" t="s">
        <v>45</v>
      </c>
      <c r="D72" s="3" t="s">
        <v>374</v>
      </c>
      <c r="E72" s="3" t="s">
        <v>375</v>
      </c>
      <c r="F72" s="3" t="s">
        <v>376</v>
      </c>
      <c r="G72" s="3" t="s">
        <v>377</v>
      </c>
      <c r="H72" s="3" t="s">
        <v>378</v>
      </c>
      <c r="I72" s="2" t="s">
        <v>16</v>
      </c>
    </row>
    <row r="73" customFormat="false" ht="35.05" hidden="false" customHeight="false" outlineLevel="0" collapsed="false">
      <c r="A73" s="4" t="n">
        <v>72</v>
      </c>
      <c r="B73" s="5" t="s">
        <v>379</v>
      </c>
      <c r="C73" s="4" t="s">
        <v>10</v>
      </c>
      <c r="D73" s="5" t="s">
        <v>380</v>
      </c>
      <c r="E73" s="5" t="s">
        <v>381</v>
      </c>
      <c r="F73" s="5" t="s">
        <v>382</v>
      </c>
      <c r="G73" s="5" t="s">
        <v>383</v>
      </c>
      <c r="H73" s="5" t="s">
        <v>384</v>
      </c>
      <c r="I73" s="4" t="s">
        <v>34</v>
      </c>
    </row>
    <row r="74" customFormat="false" ht="23.85" hidden="false" customHeight="false" outlineLevel="0" collapsed="false">
      <c r="A74" s="2" t="n">
        <v>73</v>
      </c>
      <c r="B74" s="3" t="s">
        <v>379</v>
      </c>
      <c r="C74" s="2" t="s">
        <v>28</v>
      </c>
      <c r="D74" s="3" t="s">
        <v>385</v>
      </c>
      <c r="E74" s="3" t="s">
        <v>386</v>
      </c>
      <c r="F74" s="3" t="s">
        <v>387</v>
      </c>
      <c r="G74" s="3" t="s">
        <v>388</v>
      </c>
      <c r="H74" s="3" t="s">
        <v>389</v>
      </c>
      <c r="I74" s="2" t="s">
        <v>27</v>
      </c>
    </row>
    <row r="75" customFormat="false" ht="35.05" hidden="false" customHeight="false" outlineLevel="0" collapsed="false">
      <c r="A75" s="4" t="n">
        <v>74</v>
      </c>
      <c r="B75" s="5" t="s">
        <v>379</v>
      </c>
      <c r="C75" s="4" t="s">
        <v>28</v>
      </c>
      <c r="D75" s="5" t="s">
        <v>390</v>
      </c>
      <c r="E75" s="5" t="s">
        <v>391</v>
      </c>
      <c r="F75" s="5" t="s">
        <v>392</v>
      </c>
      <c r="G75" s="5" t="s">
        <v>393</v>
      </c>
      <c r="H75" s="5" t="s">
        <v>394</v>
      </c>
      <c r="I75" s="4" t="s">
        <v>27</v>
      </c>
    </row>
    <row r="76" customFormat="false" ht="35.05" hidden="false" customHeight="false" outlineLevel="0" collapsed="false">
      <c r="A76" s="2" t="n">
        <v>75</v>
      </c>
      <c r="B76" s="3" t="s">
        <v>379</v>
      </c>
      <c r="C76" s="2" t="s">
        <v>28</v>
      </c>
      <c r="D76" s="3" t="s">
        <v>395</v>
      </c>
      <c r="E76" s="3" t="s">
        <v>396</v>
      </c>
      <c r="F76" s="3" t="s">
        <v>397</v>
      </c>
      <c r="G76" s="3" t="s">
        <v>398</v>
      </c>
      <c r="H76" s="3" t="s">
        <v>399</v>
      </c>
      <c r="I76" s="2" t="s">
        <v>62</v>
      </c>
    </row>
    <row r="77" customFormat="false" ht="46.25" hidden="false" customHeight="false" outlineLevel="0" collapsed="false">
      <c r="A77" s="4" t="n">
        <v>76</v>
      </c>
      <c r="B77" s="5" t="s">
        <v>379</v>
      </c>
      <c r="C77" s="4" t="s">
        <v>45</v>
      </c>
      <c r="D77" s="5" t="s">
        <v>400</v>
      </c>
      <c r="E77" s="5" t="s">
        <v>401</v>
      </c>
      <c r="F77" s="5" t="s">
        <v>402</v>
      </c>
      <c r="G77" s="5" t="s">
        <v>403</v>
      </c>
      <c r="H77" s="5" t="s">
        <v>404</v>
      </c>
      <c r="I77" s="4" t="s">
        <v>62</v>
      </c>
    </row>
    <row r="78" customFormat="false" ht="57.45" hidden="false" customHeight="false" outlineLevel="0" collapsed="false">
      <c r="A78" s="2" t="n">
        <v>77</v>
      </c>
      <c r="B78" s="3" t="s">
        <v>379</v>
      </c>
      <c r="C78" s="2" t="s">
        <v>45</v>
      </c>
      <c r="D78" s="3" t="s">
        <v>405</v>
      </c>
      <c r="E78" s="3" t="s">
        <v>406</v>
      </c>
      <c r="F78" s="3" t="s">
        <v>407</v>
      </c>
      <c r="G78" s="3" t="s">
        <v>408</v>
      </c>
      <c r="H78" s="3" t="s">
        <v>409</v>
      </c>
      <c r="I78" s="2" t="s">
        <v>34</v>
      </c>
    </row>
    <row r="79" customFormat="false" ht="23.85" hidden="false" customHeight="false" outlineLevel="0" collapsed="false">
      <c r="A79" s="4" t="n">
        <v>78</v>
      </c>
      <c r="B79" s="5" t="s">
        <v>410</v>
      </c>
      <c r="C79" s="4" t="s">
        <v>28</v>
      </c>
      <c r="D79" s="5" t="s">
        <v>411</v>
      </c>
      <c r="E79" s="5" t="s">
        <v>412</v>
      </c>
      <c r="F79" s="5" t="s">
        <v>413</v>
      </c>
      <c r="G79" s="5" t="s">
        <v>414</v>
      </c>
      <c r="H79" s="5" t="s">
        <v>415</v>
      </c>
      <c r="I79" s="4" t="s">
        <v>34</v>
      </c>
    </row>
    <row r="80" customFormat="false" ht="46.25" hidden="false" customHeight="false" outlineLevel="0" collapsed="false">
      <c r="A80" s="2" t="n">
        <v>79</v>
      </c>
      <c r="B80" s="3" t="s">
        <v>410</v>
      </c>
      <c r="C80" s="2" t="s">
        <v>45</v>
      </c>
      <c r="D80" s="3" t="s">
        <v>416</v>
      </c>
      <c r="E80" s="3" t="s">
        <v>417</v>
      </c>
      <c r="F80" s="3" t="s">
        <v>418</v>
      </c>
      <c r="G80" s="3" t="s">
        <v>419</v>
      </c>
      <c r="H80" s="3" t="s">
        <v>420</v>
      </c>
      <c r="I80" s="2" t="s">
        <v>62</v>
      </c>
    </row>
    <row r="81" customFormat="false" ht="57.45" hidden="false" customHeight="false" outlineLevel="0" collapsed="false">
      <c r="A81" s="4" t="n">
        <v>80</v>
      </c>
      <c r="B81" s="5" t="s">
        <v>410</v>
      </c>
      <c r="C81" s="4" t="s">
        <v>45</v>
      </c>
      <c r="D81" s="5" t="s">
        <v>421</v>
      </c>
      <c r="E81" s="5" t="s">
        <v>422</v>
      </c>
      <c r="F81" s="5" t="s">
        <v>423</v>
      </c>
      <c r="G81" s="5" t="s">
        <v>424</v>
      </c>
      <c r="H81" s="5" t="s">
        <v>425</v>
      </c>
      <c r="I81" s="4" t="s">
        <v>27</v>
      </c>
    </row>
    <row r="82" customFormat="false" ht="15" hidden="false" customHeight="false" outlineLevel="0" collapsed="false">
      <c r="A82" s="2" t="n">
        <v>81</v>
      </c>
      <c r="B82" s="3" t="s">
        <v>9</v>
      </c>
      <c r="C82" s="2" t="s">
        <v>10</v>
      </c>
      <c r="D82" s="3" t="s">
        <v>426</v>
      </c>
      <c r="E82" s="3" t="s">
        <v>427</v>
      </c>
      <c r="F82" s="3" t="s">
        <v>428</v>
      </c>
      <c r="G82" s="3" t="s">
        <v>429</v>
      </c>
      <c r="H82" s="3" t="s">
        <v>430</v>
      </c>
      <c r="I82" s="2" t="s">
        <v>27</v>
      </c>
    </row>
    <row r="83" customFormat="false" ht="15" hidden="false" customHeight="false" outlineLevel="0" collapsed="false">
      <c r="A83" s="4" t="n">
        <v>82</v>
      </c>
      <c r="B83" s="5" t="s">
        <v>9</v>
      </c>
      <c r="C83" s="4" t="s">
        <v>10</v>
      </c>
      <c r="D83" s="5" t="s">
        <v>431</v>
      </c>
      <c r="E83" s="5" t="s">
        <v>432</v>
      </c>
      <c r="F83" s="5" t="s">
        <v>433</v>
      </c>
      <c r="G83" s="5" t="s">
        <v>434</v>
      </c>
      <c r="H83" s="5" t="s">
        <v>435</v>
      </c>
      <c r="I83" s="4" t="s">
        <v>27</v>
      </c>
    </row>
    <row r="84" customFormat="false" ht="23.85" hidden="false" customHeight="false" outlineLevel="0" collapsed="false">
      <c r="A84" s="2" t="n">
        <v>83</v>
      </c>
      <c r="B84" s="3" t="s">
        <v>9</v>
      </c>
      <c r="C84" s="2" t="s">
        <v>10</v>
      </c>
      <c r="D84" s="3" t="s">
        <v>436</v>
      </c>
      <c r="E84" s="3" t="s">
        <v>437</v>
      </c>
      <c r="F84" s="3" t="s">
        <v>438</v>
      </c>
      <c r="G84" s="3" t="s">
        <v>439</v>
      </c>
      <c r="H84" s="3" t="s">
        <v>440</v>
      </c>
      <c r="I84" s="2" t="s">
        <v>62</v>
      </c>
    </row>
    <row r="85" customFormat="false" ht="23.85" hidden="false" customHeight="false" outlineLevel="0" collapsed="false">
      <c r="A85" s="4" t="n">
        <v>84</v>
      </c>
      <c r="B85" s="5" t="s">
        <v>9</v>
      </c>
      <c r="C85" s="4" t="s">
        <v>10</v>
      </c>
      <c r="D85" s="5" t="s">
        <v>441</v>
      </c>
      <c r="E85" s="5" t="s">
        <v>442</v>
      </c>
      <c r="F85" s="5" t="s">
        <v>443</v>
      </c>
      <c r="G85" s="5" t="s">
        <v>444</v>
      </c>
      <c r="H85" s="5" t="s">
        <v>445</v>
      </c>
      <c r="I85" s="4" t="s">
        <v>27</v>
      </c>
    </row>
    <row r="86" customFormat="false" ht="35.05" hidden="false" customHeight="false" outlineLevel="0" collapsed="false">
      <c r="A86" s="2" t="n">
        <v>85</v>
      </c>
      <c r="B86" s="3" t="s">
        <v>9</v>
      </c>
      <c r="C86" s="2" t="s">
        <v>28</v>
      </c>
      <c r="D86" s="3" t="s">
        <v>446</v>
      </c>
      <c r="E86" s="3" t="s">
        <v>447</v>
      </c>
      <c r="F86" s="3" t="s">
        <v>448</v>
      </c>
      <c r="G86" s="3" t="s">
        <v>449</v>
      </c>
      <c r="H86" s="3" t="s">
        <v>450</v>
      </c>
      <c r="I86" s="2" t="s">
        <v>34</v>
      </c>
    </row>
    <row r="87" customFormat="false" ht="23.85" hidden="false" customHeight="false" outlineLevel="0" collapsed="false">
      <c r="A87" s="4" t="n">
        <v>86</v>
      </c>
      <c r="B87" s="5" t="s">
        <v>9</v>
      </c>
      <c r="C87" s="4" t="s">
        <v>28</v>
      </c>
      <c r="D87" s="5" t="s">
        <v>451</v>
      </c>
      <c r="E87" s="5" t="s">
        <v>452</v>
      </c>
      <c r="F87" s="5" t="s">
        <v>453</v>
      </c>
      <c r="G87" s="5" t="s">
        <v>454</v>
      </c>
      <c r="H87" s="5" t="s">
        <v>455</v>
      </c>
      <c r="I87" s="4" t="s">
        <v>27</v>
      </c>
    </row>
    <row r="88" customFormat="false" ht="23.85" hidden="false" customHeight="false" outlineLevel="0" collapsed="false">
      <c r="A88" s="2" t="n">
        <v>87</v>
      </c>
      <c r="B88" s="3" t="s">
        <v>9</v>
      </c>
      <c r="C88" s="2" t="s">
        <v>28</v>
      </c>
      <c r="D88" s="3" t="s">
        <v>456</v>
      </c>
      <c r="E88" s="3" t="s">
        <v>457</v>
      </c>
      <c r="F88" s="3" t="s">
        <v>458</v>
      </c>
      <c r="G88" s="3" t="s">
        <v>459</v>
      </c>
      <c r="H88" s="3" t="s">
        <v>460</v>
      </c>
      <c r="I88" s="2" t="s">
        <v>34</v>
      </c>
    </row>
    <row r="89" customFormat="false" ht="23.85" hidden="false" customHeight="false" outlineLevel="0" collapsed="false">
      <c r="A89" s="4" t="n">
        <v>88</v>
      </c>
      <c r="B89" s="5" t="s">
        <v>9</v>
      </c>
      <c r="C89" s="4" t="s">
        <v>28</v>
      </c>
      <c r="D89" s="5" t="s">
        <v>461</v>
      </c>
      <c r="E89" s="5" t="s">
        <v>462</v>
      </c>
      <c r="F89" s="5" t="s">
        <v>463</v>
      </c>
      <c r="G89" s="5" t="s">
        <v>464</v>
      </c>
      <c r="H89" s="5" t="s">
        <v>465</v>
      </c>
      <c r="I89" s="4" t="s">
        <v>27</v>
      </c>
    </row>
    <row r="90" customFormat="false" ht="23.85" hidden="false" customHeight="false" outlineLevel="0" collapsed="false">
      <c r="A90" s="2" t="n">
        <v>89</v>
      </c>
      <c r="B90" s="3" t="s">
        <v>9</v>
      </c>
      <c r="C90" s="2" t="s">
        <v>28</v>
      </c>
      <c r="D90" s="3" t="s">
        <v>466</v>
      </c>
      <c r="E90" s="3" t="s">
        <v>467</v>
      </c>
      <c r="F90" s="3" t="s">
        <v>468</v>
      </c>
      <c r="G90" s="3" t="s">
        <v>469</v>
      </c>
      <c r="H90" s="3" t="s">
        <v>470</v>
      </c>
      <c r="I90" s="2" t="s">
        <v>34</v>
      </c>
    </row>
    <row r="91" customFormat="false" ht="23.85" hidden="false" customHeight="false" outlineLevel="0" collapsed="false">
      <c r="A91" s="4" t="n">
        <v>90</v>
      </c>
      <c r="B91" s="5" t="s">
        <v>9</v>
      </c>
      <c r="C91" s="4" t="s">
        <v>45</v>
      </c>
      <c r="D91" s="5" t="s">
        <v>471</v>
      </c>
      <c r="E91" s="5" t="s">
        <v>472</v>
      </c>
      <c r="F91" s="5" t="s">
        <v>473</v>
      </c>
      <c r="G91" s="5" t="s">
        <v>474</v>
      </c>
      <c r="H91" s="5" t="s">
        <v>475</v>
      </c>
      <c r="I91" s="4" t="s">
        <v>62</v>
      </c>
    </row>
    <row r="92" customFormat="false" ht="35.05" hidden="false" customHeight="false" outlineLevel="0" collapsed="false">
      <c r="A92" s="2" t="n">
        <v>91</v>
      </c>
      <c r="B92" s="3" t="s">
        <v>9</v>
      </c>
      <c r="C92" s="2" t="s">
        <v>45</v>
      </c>
      <c r="D92" s="3" t="s">
        <v>476</v>
      </c>
      <c r="E92" s="3" t="s">
        <v>477</v>
      </c>
      <c r="F92" s="3" t="s">
        <v>478</v>
      </c>
      <c r="G92" s="3" t="s">
        <v>479</v>
      </c>
      <c r="H92" s="3" t="s">
        <v>480</v>
      </c>
      <c r="I92" s="2" t="s">
        <v>34</v>
      </c>
    </row>
    <row r="93" customFormat="false" ht="35.05" hidden="false" customHeight="false" outlineLevel="0" collapsed="false">
      <c r="A93" s="4" t="n">
        <v>92</v>
      </c>
      <c r="B93" s="5" t="s">
        <v>9</v>
      </c>
      <c r="C93" s="4" t="s">
        <v>45</v>
      </c>
      <c r="D93" s="5" t="s">
        <v>481</v>
      </c>
      <c r="E93" s="5" t="s">
        <v>482</v>
      </c>
      <c r="F93" s="5" t="s">
        <v>483</v>
      </c>
      <c r="G93" s="5" t="s">
        <v>484</v>
      </c>
      <c r="H93" s="5" t="s">
        <v>485</v>
      </c>
      <c r="I93" s="4" t="s">
        <v>16</v>
      </c>
    </row>
    <row r="94" customFormat="false" ht="15" hidden="false" customHeight="false" outlineLevel="0" collapsed="false">
      <c r="A94" s="2" t="n">
        <v>93</v>
      </c>
      <c r="B94" s="3" t="s">
        <v>56</v>
      </c>
      <c r="C94" s="2" t="s">
        <v>10</v>
      </c>
      <c r="D94" s="3" t="s">
        <v>486</v>
      </c>
      <c r="E94" s="3" t="s">
        <v>487</v>
      </c>
      <c r="F94" s="3" t="s">
        <v>70</v>
      </c>
      <c r="G94" s="3" t="s">
        <v>488</v>
      </c>
      <c r="H94" s="3" t="s">
        <v>72</v>
      </c>
      <c r="I94" s="2" t="s">
        <v>27</v>
      </c>
    </row>
    <row r="95" customFormat="false" ht="15" hidden="false" customHeight="false" outlineLevel="0" collapsed="false">
      <c r="A95" s="4" t="n">
        <v>94</v>
      </c>
      <c r="B95" s="5" t="s">
        <v>56</v>
      </c>
      <c r="C95" s="4" t="s">
        <v>10</v>
      </c>
      <c r="D95" s="5" t="s">
        <v>489</v>
      </c>
      <c r="E95" s="5" t="s">
        <v>70</v>
      </c>
      <c r="F95" s="5" t="s">
        <v>490</v>
      </c>
      <c r="G95" s="5" t="s">
        <v>491</v>
      </c>
      <c r="H95" s="5" t="s">
        <v>71</v>
      </c>
      <c r="I95" s="4" t="s">
        <v>27</v>
      </c>
    </row>
    <row r="96" customFormat="false" ht="15" hidden="false" customHeight="false" outlineLevel="0" collapsed="false">
      <c r="A96" s="2" t="n">
        <v>95</v>
      </c>
      <c r="B96" s="3" t="s">
        <v>56</v>
      </c>
      <c r="C96" s="2" t="s">
        <v>10</v>
      </c>
      <c r="D96" s="3" t="s">
        <v>492</v>
      </c>
      <c r="E96" s="3" t="s">
        <v>493</v>
      </c>
      <c r="F96" s="3" t="s">
        <v>494</v>
      </c>
      <c r="G96" s="3" t="s">
        <v>107</v>
      </c>
      <c r="H96" s="3" t="s">
        <v>495</v>
      </c>
      <c r="I96" s="2" t="s">
        <v>16</v>
      </c>
    </row>
    <row r="97" customFormat="false" ht="15" hidden="false" customHeight="false" outlineLevel="0" collapsed="false">
      <c r="A97" s="4" t="n">
        <v>96</v>
      </c>
      <c r="B97" s="5" t="s">
        <v>56</v>
      </c>
      <c r="C97" s="4" t="s">
        <v>10</v>
      </c>
      <c r="D97" s="5" t="s">
        <v>496</v>
      </c>
      <c r="E97" s="5" t="s">
        <v>74</v>
      </c>
      <c r="F97" s="5" t="s">
        <v>76</v>
      </c>
      <c r="G97" s="5" t="s">
        <v>77</v>
      </c>
      <c r="H97" s="5" t="s">
        <v>75</v>
      </c>
      <c r="I97" s="4" t="s">
        <v>62</v>
      </c>
    </row>
    <row r="98" customFormat="false" ht="15" hidden="false" customHeight="false" outlineLevel="0" collapsed="false">
      <c r="A98" s="2" t="n">
        <v>97</v>
      </c>
      <c r="B98" s="3" t="s">
        <v>56</v>
      </c>
      <c r="C98" s="2" t="s">
        <v>10</v>
      </c>
      <c r="D98" s="3" t="s">
        <v>497</v>
      </c>
      <c r="E98" s="3" t="s">
        <v>498</v>
      </c>
      <c r="F98" s="3" t="s">
        <v>499</v>
      </c>
      <c r="G98" s="3" t="s">
        <v>500</v>
      </c>
      <c r="H98" s="3" t="s">
        <v>501</v>
      </c>
      <c r="I98" s="2" t="s">
        <v>16</v>
      </c>
    </row>
    <row r="99" customFormat="false" ht="15" hidden="false" customHeight="false" outlineLevel="0" collapsed="false">
      <c r="A99" s="4" t="n">
        <v>98</v>
      </c>
      <c r="B99" s="5" t="s">
        <v>56</v>
      </c>
      <c r="C99" s="4" t="s">
        <v>10</v>
      </c>
      <c r="D99" s="5" t="s">
        <v>502</v>
      </c>
      <c r="E99" s="5" t="s">
        <v>503</v>
      </c>
      <c r="F99" s="5" t="s">
        <v>504</v>
      </c>
      <c r="G99" s="5" t="s">
        <v>505</v>
      </c>
      <c r="H99" s="5" t="s">
        <v>506</v>
      </c>
      <c r="I99" s="4" t="s">
        <v>62</v>
      </c>
    </row>
    <row r="100" customFormat="false" ht="15" hidden="false" customHeight="false" outlineLevel="0" collapsed="false">
      <c r="A100" s="2" t="n">
        <v>99</v>
      </c>
      <c r="B100" s="3" t="s">
        <v>56</v>
      </c>
      <c r="C100" s="2" t="s">
        <v>28</v>
      </c>
      <c r="D100" s="3" t="s">
        <v>507</v>
      </c>
      <c r="E100" s="3" t="s">
        <v>508</v>
      </c>
      <c r="F100" s="3" t="s">
        <v>509</v>
      </c>
      <c r="G100" s="3" t="s">
        <v>510</v>
      </c>
      <c r="H100" s="3" t="s">
        <v>511</v>
      </c>
      <c r="I100" s="2" t="s">
        <v>34</v>
      </c>
    </row>
    <row r="101" customFormat="false" ht="23.85" hidden="false" customHeight="false" outlineLevel="0" collapsed="false">
      <c r="A101" s="4" t="n">
        <v>100</v>
      </c>
      <c r="B101" s="5" t="s">
        <v>56</v>
      </c>
      <c r="C101" s="4" t="s">
        <v>28</v>
      </c>
      <c r="D101" s="5" t="s">
        <v>512</v>
      </c>
      <c r="E101" s="5" t="s">
        <v>513</v>
      </c>
      <c r="F101" s="5" t="s">
        <v>514</v>
      </c>
      <c r="G101" s="5" t="s">
        <v>515</v>
      </c>
      <c r="H101" s="5" t="s">
        <v>516</v>
      </c>
      <c r="I101" s="4" t="s">
        <v>34</v>
      </c>
    </row>
    <row r="102" customFormat="false" ht="15" hidden="false" customHeight="false" outlineLevel="0" collapsed="false">
      <c r="A102" s="2" t="n">
        <v>101</v>
      </c>
      <c r="B102" s="3" t="s">
        <v>56</v>
      </c>
      <c r="C102" s="2" t="s">
        <v>28</v>
      </c>
      <c r="D102" s="3" t="s">
        <v>517</v>
      </c>
      <c r="E102" s="3" t="s">
        <v>518</v>
      </c>
      <c r="F102" s="3" t="s">
        <v>519</v>
      </c>
      <c r="G102" s="3" t="s">
        <v>520</v>
      </c>
      <c r="H102" s="3" t="s">
        <v>521</v>
      </c>
      <c r="I102" s="2" t="s">
        <v>62</v>
      </c>
    </row>
    <row r="103" customFormat="false" ht="23.85" hidden="false" customHeight="false" outlineLevel="0" collapsed="false">
      <c r="A103" s="4" t="n">
        <v>102</v>
      </c>
      <c r="B103" s="5" t="s">
        <v>56</v>
      </c>
      <c r="C103" s="4" t="s">
        <v>28</v>
      </c>
      <c r="D103" s="5" t="s">
        <v>522</v>
      </c>
      <c r="E103" s="5" t="s">
        <v>523</v>
      </c>
      <c r="F103" s="5" t="s">
        <v>524</v>
      </c>
      <c r="G103" s="5" t="s">
        <v>525</v>
      </c>
      <c r="H103" s="5" t="s">
        <v>526</v>
      </c>
      <c r="I103" s="4" t="s">
        <v>27</v>
      </c>
    </row>
    <row r="104" customFormat="false" ht="35.05" hidden="false" customHeight="false" outlineLevel="0" collapsed="false">
      <c r="A104" s="2" t="n">
        <v>103</v>
      </c>
      <c r="B104" s="3" t="s">
        <v>56</v>
      </c>
      <c r="C104" s="2" t="s">
        <v>28</v>
      </c>
      <c r="D104" s="3" t="s">
        <v>527</v>
      </c>
      <c r="E104" s="3" t="s">
        <v>528</v>
      </c>
      <c r="F104" s="3" t="s">
        <v>529</v>
      </c>
      <c r="G104" s="3" t="s">
        <v>530</v>
      </c>
      <c r="H104" s="3" t="s">
        <v>531</v>
      </c>
      <c r="I104" s="2" t="s">
        <v>62</v>
      </c>
    </row>
    <row r="105" customFormat="false" ht="15" hidden="false" customHeight="false" outlineLevel="0" collapsed="false">
      <c r="A105" s="4" t="n">
        <v>104</v>
      </c>
      <c r="B105" s="5" t="s">
        <v>56</v>
      </c>
      <c r="C105" s="4" t="s">
        <v>28</v>
      </c>
      <c r="D105" s="5" t="s">
        <v>532</v>
      </c>
      <c r="E105" s="5" t="s">
        <v>533</v>
      </c>
      <c r="F105" s="5" t="s">
        <v>534</v>
      </c>
      <c r="G105" s="5" t="s">
        <v>535</v>
      </c>
      <c r="H105" s="5" t="s">
        <v>536</v>
      </c>
      <c r="I105" s="4" t="s">
        <v>34</v>
      </c>
    </row>
    <row r="106" customFormat="false" ht="23.85" hidden="false" customHeight="false" outlineLevel="0" collapsed="false">
      <c r="A106" s="2" t="n">
        <v>105</v>
      </c>
      <c r="B106" s="3" t="s">
        <v>56</v>
      </c>
      <c r="C106" s="2" t="s">
        <v>28</v>
      </c>
      <c r="D106" s="3" t="s">
        <v>537</v>
      </c>
      <c r="E106" s="3" t="s">
        <v>538</v>
      </c>
      <c r="F106" s="3" t="s">
        <v>539</v>
      </c>
      <c r="G106" s="3" t="s">
        <v>540</v>
      </c>
      <c r="H106" s="3" t="s">
        <v>541</v>
      </c>
      <c r="I106" s="2" t="s">
        <v>16</v>
      </c>
    </row>
    <row r="107" customFormat="false" ht="23.85" hidden="false" customHeight="false" outlineLevel="0" collapsed="false">
      <c r="A107" s="4" t="n">
        <v>106</v>
      </c>
      <c r="B107" s="5" t="s">
        <v>56</v>
      </c>
      <c r="C107" s="4" t="s">
        <v>28</v>
      </c>
      <c r="D107" s="5" t="s">
        <v>542</v>
      </c>
      <c r="E107" s="5" t="s">
        <v>543</v>
      </c>
      <c r="F107" s="5" t="s">
        <v>544</v>
      </c>
      <c r="G107" s="5" t="s">
        <v>545</v>
      </c>
      <c r="H107" s="5" t="s">
        <v>546</v>
      </c>
      <c r="I107" s="4" t="s">
        <v>62</v>
      </c>
    </row>
    <row r="108" customFormat="false" ht="23.85" hidden="false" customHeight="false" outlineLevel="0" collapsed="false">
      <c r="A108" s="2" t="n">
        <v>107</v>
      </c>
      <c r="B108" s="3" t="s">
        <v>56</v>
      </c>
      <c r="C108" s="2" t="s">
        <v>28</v>
      </c>
      <c r="D108" s="3" t="s">
        <v>547</v>
      </c>
      <c r="E108" s="3" t="s">
        <v>548</v>
      </c>
      <c r="F108" s="3" t="s">
        <v>549</v>
      </c>
      <c r="G108" s="3" t="s">
        <v>550</v>
      </c>
      <c r="H108" s="3" t="s">
        <v>551</v>
      </c>
      <c r="I108" s="2" t="s">
        <v>62</v>
      </c>
    </row>
    <row r="109" customFormat="false" ht="23.85" hidden="false" customHeight="false" outlineLevel="0" collapsed="false">
      <c r="A109" s="4" t="n">
        <v>108</v>
      </c>
      <c r="B109" s="5" t="s">
        <v>56</v>
      </c>
      <c r="C109" s="4" t="s">
        <v>45</v>
      </c>
      <c r="D109" s="5" t="s">
        <v>552</v>
      </c>
      <c r="E109" s="5" t="s">
        <v>553</v>
      </c>
      <c r="F109" s="5" t="s">
        <v>554</v>
      </c>
      <c r="G109" s="5" t="s">
        <v>555</v>
      </c>
      <c r="H109" s="5" t="s">
        <v>556</v>
      </c>
      <c r="I109" s="4" t="s">
        <v>16</v>
      </c>
    </row>
    <row r="110" customFormat="false" ht="35.05" hidden="false" customHeight="false" outlineLevel="0" collapsed="false">
      <c r="A110" s="2" t="n">
        <v>109</v>
      </c>
      <c r="B110" s="3" t="s">
        <v>56</v>
      </c>
      <c r="C110" s="2" t="s">
        <v>45</v>
      </c>
      <c r="D110" s="3" t="s">
        <v>557</v>
      </c>
      <c r="E110" s="3" t="s">
        <v>558</v>
      </c>
      <c r="F110" s="3" t="s">
        <v>559</v>
      </c>
      <c r="G110" s="3" t="s">
        <v>560</v>
      </c>
      <c r="H110" s="3" t="s">
        <v>561</v>
      </c>
      <c r="I110" s="2" t="s">
        <v>34</v>
      </c>
    </row>
    <row r="111" customFormat="false" ht="46.25" hidden="false" customHeight="false" outlineLevel="0" collapsed="false">
      <c r="A111" s="4" t="n">
        <v>110</v>
      </c>
      <c r="B111" s="5" t="s">
        <v>56</v>
      </c>
      <c r="C111" s="4" t="s">
        <v>45</v>
      </c>
      <c r="D111" s="5" t="s">
        <v>562</v>
      </c>
      <c r="E111" s="5" t="s">
        <v>563</v>
      </c>
      <c r="F111" s="5" t="s">
        <v>564</v>
      </c>
      <c r="G111" s="5" t="s">
        <v>565</v>
      </c>
      <c r="H111" s="5" t="s">
        <v>566</v>
      </c>
      <c r="I111" s="4" t="s">
        <v>27</v>
      </c>
    </row>
    <row r="112" customFormat="false" ht="46.25" hidden="false" customHeight="false" outlineLevel="0" collapsed="false">
      <c r="A112" s="2" t="n">
        <v>111</v>
      </c>
      <c r="B112" s="3" t="s">
        <v>56</v>
      </c>
      <c r="C112" s="2" t="s">
        <v>45</v>
      </c>
      <c r="D112" s="3" t="s">
        <v>567</v>
      </c>
      <c r="E112" s="3" t="s">
        <v>568</v>
      </c>
      <c r="F112" s="3" t="s">
        <v>569</v>
      </c>
      <c r="G112" s="3" t="s">
        <v>570</v>
      </c>
      <c r="H112" s="3" t="s">
        <v>571</v>
      </c>
      <c r="I112" s="2" t="s">
        <v>27</v>
      </c>
    </row>
    <row r="113" customFormat="false" ht="35.05" hidden="false" customHeight="false" outlineLevel="0" collapsed="false">
      <c r="A113" s="4" t="n">
        <v>112</v>
      </c>
      <c r="B113" s="5" t="s">
        <v>56</v>
      </c>
      <c r="C113" s="4" t="s">
        <v>45</v>
      </c>
      <c r="D113" s="5" t="s">
        <v>572</v>
      </c>
      <c r="E113" s="5" t="s">
        <v>573</v>
      </c>
      <c r="F113" s="5" t="s">
        <v>574</v>
      </c>
      <c r="G113" s="5" t="s">
        <v>575</v>
      </c>
      <c r="H113" s="5" t="s">
        <v>576</v>
      </c>
      <c r="I113" s="4" t="s">
        <v>16</v>
      </c>
    </row>
    <row r="114" customFormat="false" ht="35.05" hidden="false" customHeight="false" outlineLevel="0" collapsed="false">
      <c r="A114" s="2" t="n">
        <v>113</v>
      </c>
      <c r="B114" s="3" t="s">
        <v>56</v>
      </c>
      <c r="C114" s="2" t="s">
        <v>45</v>
      </c>
      <c r="D114" s="3" t="s">
        <v>577</v>
      </c>
      <c r="E114" s="3" t="s">
        <v>578</v>
      </c>
      <c r="F114" s="3" t="s">
        <v>579</v>
      </c>
      <c r="G114" s="3" t="s">
        <v>580</v>
      </c>
      <c r="H114" s="3" t="s">
        <v>581</v>
      </c>
      <c r="I114" s="2" t="s">
        <v>16</v>
      </c>
    </row>
    <row r="115" customFormat="false" ht="15" hidden="false" customHeight="false" outlineLevel="0" collapsed="false">
      <c r="A115" s="4" t="n">
        <v>114</v>
      </c>
      <c r="B115" s="5" t="s">
        <v>128</v>
      </c>
      <c r="C115" s="4" t="s">
        <v>10</v>
      </c>
      <c r="D115" s="5" t="s">
        <v>582</v>
      </c>
      <c r="E115" s="5" t="s">
        <v>583</v>
      </c>
      <c r="F115" s="5" t="s">
        <v>133</v>
      </c>
      <c r="G115" s="5" t="s">
        <v>130</v>
      </c>
      <c r="H115" s="5" t="s">
        <v>584</v>
      </c>
      <c r="I115" s="4" t="s">
        <v>27</v>
      </c>
    </row>
    <row r="116" customFormat="false" ht="15" hidden="false" customHeight="false" outlineLevel="0" collapsed="false">
      <c r="A116" s="2" t="n">
        <v>115</v>
      </c>
      <c r="B116" s="3" t="s">
        <v>128</v>
      </c>
      <c r="C116" s="2" t="s">
        <v>10</v>
      </c>
      <c r="D116" s="3" t="s">
        <v>585</v>
      </c>
      <c r="E116" s="3" t="s">
        <v>586</v>
      </c>
      <c r="F116" s="3" t="s">
        <v>587</v>
      </c>
      <c r="G116" s="3" t="s">
        <v>588</v>
      </c>
      <c r="H116" s="3" t="s">
        <v>589</v>
      </c>
      <c r="I116" s="2" t="s">
        <v>27</v>
      </c>
    </row>
    <row r="117" customFormat="false" ht="15" hidden="false" customHeight="false" outlineLevel="0" collapsed="false">
      <c r="A117" s="4" t="n">
        <v>116</v>
      </c>
      <c r="B117" s="5" t="s">
        <v>128</v>
      </c>
      <c r="C117" s="4" t="s">
        <v>10</v>
      </c>
      <c r="D117" s="5" t="s">
        <v>590</v>
      </c>
      <c r="E117" s="5" t="s">
        <v>591</v>
      </c>
      <c r="F117" s="5" t="s">
        <v>592</v>
      </c>
      <c r="G117" s="5" t="s">
        <v>593</v>
      </c>
      <c r="H117" s="5" t="s">
        <v>594</v>
      </c>
      <c r="I117" s="4" t="s">
        <v>16</v>
      </c>
    </row>
    <row r="118" customFormat="false" ht="15" hidden="false" customHeight="false" outlineLevel="0" collapsed="false">
      <c r="A118" s="2" t="n">
        <v>117</v>
      </c>
      <c r="B118" s="3" t="s">
        <v>128</v>
      </c>
      <c r="C118" s="2" t="s">
        <v>10</v>
      </c>
      <c r="D118" s="3" t="s">
        <v>595</v>
      </c>
      <c r="E118" s="3" t="s">
        <v>596</v>
      </c>
      <c r="F118" s="3" t="s">
        <v>597</v>
      </c>
      <c r="G118" s="3" t="s">
        <v>598</v>
      </c>
      <c r="H118" s="3" t="s">
        <v>599</v>
      </c>
      <c r="I118" s="2" t="s">
        <v>16</v>
      </c>
    </row>
    <row r="119" customFormat="false" ht="15" hidden="false" customHeight="false" outlineLevel="0" collapsed="false">
      <c r="A119" s="4" t="n">
        <v>118</v>
      </c>
      <c r="B119" s="5" t="s">
        <v>128</v>
      </c>
      <c r="C119" s="4" t="s">
        <v>10</v>
      </c>
      <c r="D119" s="5" t="s">
        <v>600</v>
      </c>
      <c r="E119" s="5" t="s">
        <v>601</v>
      </c>
      <c r="F119" s="5" t="s">
        <v>602</v>
      </c>
      <c r="G119" s="5" t="s">
        <v>603</v>
      </c>
      <c r="H119" s="5" t="s">
        <v>604</v>
      </c>
      <c r="I119" s="4" t="s">
        <v>27</v>
      </c>
    </row>
    <row r="120" customFormat="false" ht="15" hidden="false" customHeight="false" outlineLevel="0" collapsed="false">
      <c r="A120" s="2" t="n">
        <v>119</v>
      </c>
      <c r="B120" s="3" t="s">
        <v>128</v>
      </c>
      <c r="C120" s="2" t="s">
        <v>10</v>
      </c>
      <c r="D120" s="3" t="s">
        <v>605</v>
      </c>
      <c r="E120" s="3" t="s">
        <v>606</v>
      </c>
      <c r="F120" s="3" t="s">
        <v>607</v>
      </c>
      <c r="G120" s="3" t="s">
        <v>608</v>
      </c>
      <c r="H120" s="3" t="s">
        <v>609</v>
      </c>
      <c r="I120" s="2" t="s">
        <v>34</v>
      </c>
    </row>
    <row r="121" customFormat="false" ht="23.85" hidden="false" customHeight="false" outlineLevel="0" collapsed="false">
      <c r="A121" s="4" t="n">
        <v>120</v>
      </c>
      <c r="B121" s="5" t="s">
        <v>128</v>
      </c>
      <c r="C121" s="4" t="s">
        <v>10</v>
      </c>
      <c r="D121" s="5" t="s">
        <v>610</v>
      </c>
      <c r="E121" s="5" t="s">
        <v>611</v>
      </c>
      <c r="F121" s="5" t="s">
        <v>612</v>
      </c>
      <c r="G121" s="5" t="s">
        <v>613</v>
      </c>
      <c r="H121" s="5" t="s">
        <v>614</v>
      </c>
      <c r="I121" s="4" t="s">
        <v>27</v>
      </c>
    </row>
    <row r="122" customFormat="false" ht="15" hidden="false" customHeight="false" outlineLevel="0" collapsed="false">
      <c r="A122" s="2" t="n">
        <v>121</v>
      </c>
      <c r="B122" s="3" t="s">
        <v>128</v>
      </c>
      <c r="C122" s="2" t="s">
        <v>10</v>
      </c>
      <c r="D122" s="3" t="s">
        <v>615</v>
      </c>
      <c r="E122" s="3" t="s">
        <v>616</v>
      </c>
      <c r="F122" s="3" t="s">
        <v>617</v>
      </c>
      <c r="G122" s="3" t="s">
        <v>618</v>
      </c>
      <c r="H122" s="3" t="s">
        <v>619</v>
      </c>
      <c r="I122" s="2" t="s">
        <v>16</v>
      </c>
    </row>
    <row r="123" customFormat="false" ht="23.85" hidden="false" customHeight="false" outlineLevel="0" collapsed="false">
      <c r="A123" s="4" t="n">
        <v>122</v>
      </c>
      <c r="B123" s="5" t="s">
        <v>128</v>
      </c>
      <c r="C123" s="4" t="s">
        <v>28</v>
      </c>
      <c r="D123" s="5" t="s">
        <v>620</v>
      </c>
      <c r="E123" s="5" t="s">
        <v>621</v>
      </c>
      <c r="F123" s="5" t="s">
        <v>622</v>
      </c>
      <c r="G123" s="5" t="s">
        <v>623</v>
      </c>
      <c r="H123" s="5" t="s">
        <v>624</v>
      </c>
      <c r="I123" s="4" t="s">
        <v>27</v>
      </c>
    </row>
    <row r="124" customFormat="false" ht="15" hidden="false" customHeight="false" outlineLevel="0" collapsed="false">
      <c r="A124" s="2" t="n">
        <v>123</v>
      </c>
      <c r="B124" s="3" t="s">
        <v>128</v>
      </c>
      <c r="C124" s="2" t="s">
        <v>28</v>
      </c>
      <c r="D124" s="3" t="s">
        <v>625</v>
      </c>
      <c r="E124" s="3" t="s">
        <v>626</v>
      </c>
      <c r="F124" s="3" t="s">
        <v>627</v>
      </c>
      <c r="G124" s="3" t="s">
        <v>628</v>
      </c>
      <c r="H124" s="3" t="s">
        <v>629</v>
      </c>
      <c r="I124" s="2" t="s">
        <v>34</v>
      </c>
    </row>
    <row r="125" customFormat="false" ht="23.85" hidden="false" customHeight="false" outlineLevel="0" collapsed="false">
      <c r="A125" s="4" t="n">
        <v>124</v>
      </c>
      <c r="B125" s="5" t="s">
        <v>128</v>
      </c>
      <c r="C125" s="4" t="s">
        <v>28</v>
      </c>
      <c r="D125" s="5" t="s">
        <v>630</v>
      </c>
      <c r="E125" s="5" t="s">
        <v>631</v>
      </c>
      <c r="F125" s="5" t="s">
        <v>632</v>
      </c>
      <c r="G125" s="5" t="s">
        <v>529</v>
      </c>
      <c r="H125" s="5" t="s">
        <v>633</v>
      </c>
      <c r="I125" s="4" t="s">
        <v>16</v>
      </c>
    </row>
    <row r="126" customFormat="false" ht="23.85" hidden="false" customHeight="false" outlineLevel="0" collapsed="false">
      <c r="A126" s="2" t="n">
        <v>125</v>
      </c>
      <c r="B126" s="3" t="s">
        <v>128</v>
      </c>
      <c r="C126" s="2" t="s">
        <v>28</v>
      </c>
      <c r="D126" s="3" t="s">
        <v>634</v>
      </c>
      <c r="E126" s="3" t="s">
        <v>635</v>
      </c>
      <c r="F126" s="3" t="s">
        <v>636</v>
      </c>
      <c r="G126" s="3" t="s">
        <v>637</v>
      </c>
      <c r="H126" s="3" t="s">
        <v>638</v>
      </c>
      <c r="I126" s="2" t="s">
        <v>34</v>
      </c>
    </row>
    <row r="127" customFormat="false" ht="23.85" hidden="false" customHeight="false" outlineLevel="0" collapsed="false">
      <c r="A127" s="4" t="n">
        <v>126</v>
      </c>
      <c r="B127" s="5" t="s">
        <v>128</v>
      </c>
      <c r="C127" s="4" t="s">
        <v>28</v>
      </c>
      <c r="D127" s="5" t="s">
        <v>639</v>
      </c>
      <c r="E127" s="5" t="s">
        <v>640</v>
      </c>
      <c r="F127" s="5" t="s">
        <v>641</v>
      </c>
      <c r="G127" s="5" t="s">
        <v>642</v>
      </c>
      <c r="H127" s="5" t="s">
        <v>643</v>
      </c>
      <c r="I127" s="4" t="s">
        <v>16</v>
      </c>
    </row>
    <row r="128" customFormat="false" ht="23.85" hidden="false" customHeight="false" outlineLevel="0" collapsed="false">
      <c r="A128" s="2" t="n">
        <v>127</v>
      </c>
      <c r="B128" s="3" t="s">
        <v>128</v>
      </c>
      <c r="C128" s="2" t="s">
        <v>28</v>
      </c>
      <c r="D128" s="3" t="s">
        <v>644</v>
      </c>
      <c r="E128" s="3" t="s">
        <v>645</v>
      </c>
      <c r="F128" s="3" t="s">
        <v>646</v>
      </c>
      <c r="G128" s="3" t="s">
        <v>647</v>
      </c>
      <c r="H128" s="3" t="s">
        <v>648</v>
      </c>
      <c r="I128" s="2" t="s">
        <v>16</v>
      </c>
    </row>
    <row r="129" customFormat="false" ht="23.85" hidden="false" customHeight="false" outlineLevel="0" collapsed="false">
      <c r="A129" s="4" t="n">
        <v>128</v>
      </c>
      <c r="B129" s="5" t="s">
        <v>128</v>
      </c>
      <c r="C129" s="4" t="s">
        <v>28</v>
      </c>
      <c r="D129" s="5" t="s">
        <v>649</v>
      </c>
      <c r="E129" s="5" t="s">
        <v>650</v>
      </c>
      <c r="F129" s="5" t="s">
        <v>651</v>
      </c>
      <c r="G129" s="5" t="s">
        <v>652</v>
      </c>
      <c r="H129" s="5" t="s">
        <v>653</v>
      </c>
      <c r="I129" s="4" t="s">
        <v>16</v>
      </c>
    </row>
    <row r="130" customFormat="false" ht="23.85" hidden="false" customHeight="false" outlineLevel="0" collapsed="false">
      <c r="A130" s="2" t="n">
        <v>129</v>
      </c>
      <c r="B130" s="3" t="s">
        <v>128</v>
      </c>
      <c r="C130" s="2" t="s">
        <v>28</v>
      </c>
      <c r="D130" s="3" t="s">
        <v>654</v>
      </c>
      <c r="E130" s="3" t="s">
        <v>655</v>
      </c>
      <c r="F130" s="3" t="s">
        <v>529</v>
      </c>
      <c r="G130" s="3" t="s">
        <v>656</v>
      </c>
      <c r="H130" s="3" t="s">
        <v>657</v>
      </c>
      <c r="I130" s="2" t="s">
        <v>62</v>
      </c>
    </row>
    <row r="131" customFormat="false" ht="15" hidden="false" customHeight="false" outlineLevel="0" collapsed="false">
      <c r="A131" s="4" t="n">
        <v>130</v>
      </c>
      <c r="B131" s="5" t="s">
        <v>128</v>
      </c>
      <c r="C131" s="4" t="s">
        <v>28</v>
      </c>
      <c r="D131" s="5" t="s">
        <v>658</v>
      </c>
      <c r="E131" s="5" t="s">
        <v>659</v>
      </c>
      <c r="F131" s="5" t="s">
        <v>660</v>
      </c>
      <c r="G131" s="5" t="s">
        <v>661</v>
      </c>
      <c r="H131" s="5" t="s">
        <v>662</v>
      </c>
      <c r="I131" s="4" t="s">
        <v>16</v>
      </c>
    </row>
    <row r="132" customFormat="false" ht="23.85" hidden="false" customHeight="false" outlineLevel="0" collapsed="false">
      <c r="A132" s="2" t="n">
        <v>131</v>
      </c>
      <c r="B132" s="3" t="s">
        <v>128</v>
      </c>
      <c r="C132" s="2" t="s">
        <v>28</v>
      </c>
      <c r="D132" s="3" t="s">
        <v>663</v>
      </c>
      <c r="E132" s="3" t="s">
        <v>664</v>
      </c>
      <c r="F132" s="3" t="s">
        <v>665</v>
      </c>
      <c r="G132" s="3" t="s">
        <v>666</v>
      </c>
      <c r="H132" s="3" t="s">
        <v>667</v>
      </c>
      <c r="I132" s="2" t="s">
        <v>16</v>
      </c>
    </row>
    <row r="133" customFormat="false" ht="35.05" hidden="false" customHeight="false" outlineLevel="0" collapsed="false">
      <c r="A133" s="4" t="n">
        <v>132</v>
      </c>
      <c r="B133" s="5" t="s">
        <v>128</v>
      </c>
      <c r="C133" s="4" t="s">
        <v>45</v>
      </c>
      <c r="D133" s="5" t="s">
        <v>668</v>
      </c>
      <c r="E133" s="5" t="s">
        <v>669</v>
      </c>
      <c r="F133" s="5" t="s">
        <v>670</v>
      </c>
      <c r="G133" s="5" t="s">
        <v>671</v>
      </c>
      <c r="H133" s="5" t="s">
        <v>672</v>
      </c>
      <c r="I133" s="4" t="s">
        <v>27</v>
      </c>
    </row>
    <row r="134" customFormat="false" ht="35.05" hidden="false" customHeight="false" outlineLevel="0" collapsed="false">
      <c r="A134" s="2" t="n">
        <v>133</v>
      </c>
      <c r="B134" s="3" t="s">
        <v>128</v>
      </c>
      <c r="C134" s="2" t="s">
        <v>45</v>
      </c>
      <c r="D134" s="3" t="s">
        <v>673</v>
      </c>
      <c r="E134" s="3" t="s">
        <v>674</v>
      </c>
      <c r="F134" s="3" t="s">
        <v>675</v>
      </c>
      <c r="G134" s="3" t="s">
        <v>676</v>
      </c>
      <c r="H134" s="3" t="s">
        <v>677</v>
      </c>
      <c r="I134" s="2" t="s">
        <v>16</v>
      </c>
    </row>
    <row r="135" customFormat="false" ht="35.05" hidden="false" customHeight="false" outlineLevel="0" collapsed="false">
      <c r="A135" s="4" t="n">
        <v>134</v>
      </c>
      <c r="B135" s="5" t="s">
        <v>128</v>
      </c>
      <c r="C135" s="4" t="s">
        <v>45</v>
      </c>
      <c r="D135" s="5" t="s">
        <v>678</v>
      </c>
      <c r="E135" s="5" t="s">
        <v>679</v>
      </c>
      <c r="F135" s="5" t="s">
        <v>680</v>
      </c>
      <c r="G135" s="5" t="s">
        <v>681</v>
      </c>
      <c r="H135" s="5" t="s">
        <v>682</v>
      </c>
      <c r="I135" s="4" t="s">
        <v>34</v>
      </c>
    </row>
    <row r="136" customFormat="false" ht="35.05" hidden="false" customHeight="false" outlineLevel="0" collapsed="false">
      <c r="A136" s="2" t="n">
        <v>135</v>
      </c>
      <c r="B136" s="3" t="s">
        <v>128</v>
      </c>
      <c r="C136" s="2" t="s">
        <v>45</v>
      </c>
      <c r="D136" s="3" t="s">
        <v>683</v>
      </c>
      <c r="E136" s="3" t="s">
        <v>684</v>
      </c>
      <c r="F136" s="3" t="s">
        <v>685</v>
      </c>
      <c r="G136" s="3" t="s">
        <v>686</v>
      </c>
      <c r="H136" s="3" t="s">
        <v>687</v>
      </c>
      <c r="I136" s="2" t="s">
        <v>16</v>
      </c>
    </row>
    <row r="137" customFormat="false" ht="35.05" hidden="false" customHeight="false" outlineLevel="0" collapsed="false">
      <c r="A137" s="4" t="n">
        <v>136</v>
      </c>
      <c r="B137" s="5" t="s">
        <v>128</v>
      </c>
      <c r="C137" s="4" t="s">
        <v>45</v>
      </c>
      <c r="D137" s="5" t="s">
        <v>688</v>
      </c>
      <c r="E137" s="5" t="s">
        <v>689</v>
      </c>
      <c r="F137" s="5" t="s">
        <v>690</v>
      </c>
      <c r="G137" s="5" t="s">
        <v>691</v>
      </c>
      <c r="H137" s="5" t="s">
        <v>692</v>
      </c>
      <c r="I137" s="4" t="s">
        <v>16</v>
      </c>
    </row>
    <row r="138" customFormat="false" ht="35.05" hidden="false" customHeight="false" outlineLevel="0" collapsed="false">
      <c r="A138" s="2" t="n">
        <v>137</v>
      </c>
      <c r="B138" s="3" t="s">
        <v>128</v>
      </c>
      <c r="C138" s="2" t="s">
        <v>45</v>
      </c>
      <c r="D138" s="3" t="s">
        <v>693</v>
      </c>
      <c r="E138" s="3" t="s">
        <v>694</v>
      </c>
      <c r="F138" s="3" t="s">
        <v>695</v>
      </c>
      <c r="G138" s="3" t="s">
        <v>696</v>
      </c>
      <c r="H138" s="3" t="s">
        <v>697</v>
      </c>
      <c r="I138" s="2" t="s">
        <v>16</v>
      </c>
    </row>
    <row r="139" customFormat="false" ht="35.05" hidden="false" customHeight="false" outlineLevel="0" collapsed="false">
      <c r="A139" s="4" t="n">
        <v>138</v>
      </c>
      <c r="B139" s="5" t="s">
        <v>128</v>
      </c>
      <c r="C139" s="4" t="s">
        <v>45</v>
      </c>
      <c r="D139" s="5" t="s">
        <v>698</v>
      </c>
      <c r="E139" s="5" t="s">
        <v>699</v>
      </c>
      <c r="F139" s="5" t="s">
        <v>700</v>
      </c>
      <c r="G139" s="5" t="s">
        <v>701</v>
      </c>
      <c r="H139" s="5" t="s">
        <v>702</v>
      </c>
      <c r="I139" s="4" t="s">
        <v>34</v>
      </c>
    </row>
    <row r="140" customFormat="false" ht="35.05" hidden="false" customHeight="false" outlineLevel="0" collapsed="false">
      <c r="A140" s="2" t="n">
        <v>139</v>
      </c>
      <c r="B140" s="3" t="s">
        <v>128</v>
      </c>
      <c r="C140" s="2" t="s">
        <v>45</v>
      </c>
      <c r="D140" s="3" t="s">
        <v>703</v>
      </c>
      <c r="E140" s="3" t="s">
        <v>704</v>
      </c>
      <c r="F140" s="3" t="s">
        <v>705</v>
      </c>
      <c r="G140" s="3" t="s">
        <v>706</v>
      </c>
      <c r="H140" s="3" t="s">
        <v>707</v>
      </c>
      <c r="I140" s="2" t="s">
        <v>34</v>
      </c>
    </row>
    <row r="141" customFormat="false" ht="23.85" hidden="false" customHeight="false" outlineLevel="0" collapsed="false">
      <c r="A141" s="4" t="n">
        <v>140</v>
      </c>
      <c r="B141" s="5" t="s">
        <v>199</v>
      </c>
      <c r="C141" s="4" t="s">
        <v>10</v>
      </c>
      <c r="D141" s="5" t="s">
        <v>708</v>
      </c>
      <c r="E141" s="5" t="s">
        <v>709</v>
      </c>
      <c r="F141" s="5" t="s">
        <v>710</v>
      </c>
      <c r="G141" s="5" t="s">
        <v>711</v>
      </c>
      <c r="H141" s="5" t="s">
        <v>712</v>
      </c>
      <c r="I141" s="4" t="s">
        <v>62</v>
      </c>
    </row>
    <row r="142" customFormat="false" ht="23.85" hidden="false" customHeight="false" outlineLevel="0" collapsed="false">
      <c r="A142" s="2" t="n">
        <v>141</v>
      </c>
      <c r="B142" s="3" t="s">
        <v>199</v>
      </c>
      <c r="C142" s="2" t="s">
        <v>10</v>
      </c>
      <c r="D142" s="3" t="s">
        <v>713</v>
      </c>
      <c r="E142" s="3" t="s">
        <v>714</v>
      </c>
      <c r="F142" s="3" t="s">
        <v>715</v>
      </c>
      <c r="G142" s="3" t="s">
        <v>716</v>
      </c>
      <c r="H142" s="3" t="s">
        <v>717</v>
      </c>
      <c r="I142" s="2" t="s">
        <v>16</v>
      </c>
    </row>
    <row r="143" customFormat="false" ht="23.85" hidden="false" customHeight="false" outlineLevel="0" collapsed="false">
      <c r="A143" s="4" t="n">
        <v>142</v>
      </c>
      <c r="B143" s="5" t="s">
        <v>199</v>
      </c>
      <c r="C143" s="4" t="s">
        <v>10</v>
      </c>
      <c r="D143" s="5" t="s">
        <v>718</v>
      </c>
      <c r="E143" s="5" t="s">
        <v>719</v>
      </c>
      <c r="F143" s="5" t="s">
        <v>720</v>
      </c>
      <c r="G143" s="5" t="s">
        <v>721</v>
      </c>
      <c r="H143" s="5" t="s">
        <v>722</v>
      </c>
      <c r="I143" s="4" t="s">
        <v>62</v>
      </c>
    </row>
    <row r="144" customFormat="false" ht="23.85" hidden="false" customHeight="false" outlineLevel="0" collapsed="false">
      <c r="A144" s="2" t="n">
        <v>143</v>
      </c>
      <c r="B144" s="3" t="s">
        <v>199</v>
      </c>
      <c r="C144" s="2" t="s">
        <v>10</v>
      </c>
      <c r="D144" s="3" t="s">
        <v>723</v>
      </c>
      <c r="E144" s="3" t="s">
        <v>724</v>
      </c>
      <c r="F144" s="3" t="s">
        <v>725</v>
      </c>
      <c r="G144" s="3" t="s">
        <v>726</v>
      </c>
      <c r="H144" s="3" t="s">
        <v>727</v>
      </c>
      <c r="I144" s="2" t="s">
        <v>16</v>
      </c>
    </row>
    <row r="145" customFormat="false" ht="23.85" hidden="false" customHeight="false" outlineLevel="0" collapsed="false">
      <c r="A145" s="4" t="n">
        <v>144</v>
      </c>
      <c r="B145" s="5" t="s">
        <v>199</v>
      </c>
      <c r="C145" s="4" t="s">
        <v>28</v>
      </c>
      <c r="D145" s="5" t="s">
        <v>728</v>
      </c>
      <c r="E145" s="5" t="s">
        <v>729</v>
      </c>
      <c r="F145" s="5" t="s">
        <v>730</v>
      </c>
      <c r="G145" s="5" t="s">
        <v>731</v>
      </c>
      <c r="H145" s="5" t="s">
        <v>732</v>
      </c>
      <c r="I145" s="4" t="s">
        <v>34</v>
      </c>
    </row>
    <row r="146" customFormat="false" ht="23.85" hidden="false" customHeight="false" outlineLevel="0" collapsed="false">
      <c r="A146" s="2" t="n">
        <v>145</v>
      </c>
      <c r="B146" s="3" t="s">
        <v>199</v>
      </c>
      <c r="C146" s="2" t="s">
        <v>28</v>
      </c>
      <c r="D146" s="3" t="s">
        <v>733</v>
      </c>
      <c r="E146" s="3" t="s">
        <v>734</v>
      </c>
      <c r="F146" s="3" t="s">
        <v>735</v>
      </c>
      <c r="G146" s="3" t="s">
        <v>736</v>
      </c>
      <c r="H146" s="3" t="s">
        <v>737</v>
      </c>
      <c r="I146" s="2" t="s">
        <v>62</v>
      </c>
    </row>
    <row r="147" customFormat="false" ht="23.85" hidden="false" customHeight="false" outlineLevel="0" collapsed="false">
      <c r="A147" s="4" t="n">
        <v>146</v>
      </c>
      <c r="B147" s="5" t="s">
        <v>199</v>
      </c>
      <c r="C147" s="4" t="s">
        <v>28</v>
      </c>
      <c r="D147" s="5" t="s">
        <v>738</v>
      </c>
      <c r="E147" s="5" t="s">
        <v>739</v>
      </c>
      <c r="F147" s="5" t="s">
        <v>740</v>
      </c>
      <c r="G147" s="5" t="s">
        <v>741</v>
      </c>
      <c r="H147" s="5" t="s">
        <v>742</v>
      </c>
      <c r="I147" s="4" t="s">
        <v>62</v>
      </c>
    </row>
    <row r="148" customFormat="false" ht="35.05" hidden="false" customHeight="false" outlineLevel="0" collapsed="false">
      <c r="A148" s="2" t="n">
        <v>147</v>
      </c>
      <c r="B148" s="3" t="s">
        <v>199</v>
      </c>
      <c r="C148" s="2" t="s">
        <v>28</v>
      </c>
      <c r="D148" s="3" t="s">
        <v>743</v>
      </c>
      <c r="E148" s="3" t="s">
        <v>744</v>
      </c>
      <c r="F148" s="3" t="s">
        <v>745</v>
      </c>
      <c r="G148" s="3" t="s">
        <v>746</v>
      </c>
      <c r="H148" s="3" t="s">
        <v>747</v>
      </c>
      <c r="I148" s="2" t="s">
        <v>34</v>
      </c>
    </row>
    <row r="149" customFormat="false" ht="35.05" hidden="false" customHeight="false" outlineLevel="0" collapsed="false">
      <c r="A149" s="4" t="n">
        <v>148</v>
      </c>
      <c r="B149" s="5" t="s">
        <v>199</v>
      </c>
      <c r="C149" s="4" t="s">
        <v>28</v>
      </c>
      <c r="D149" s="5" t="s">
        <v>748</v>
      </c>
      <c r="E149" s="5" t="s">
        <v>749</v>
      </c>
      <c r="F149" s="5" t="s">
        <v>750</v>
      </c>
      <c r="G149" s="5" t="s">
        <v>751</v>
      </c>
      <c r="H149" s="5" t="s">
        <v>752</v>
      </c>
      <c r="I149" s="4" t="s">
        <v>27</v>
      </c>
    </row>
    <row r="150" customFormat="false" ht="35.05" hidden="false" customHeight="false" outlineLevel="0" collapsed="false">
      <c r="A150" s="2" t="n">
        <v>149</v>
      </c>
      <c r="B150" s="3" t="s">
        <v>199</v>
      </c>
      <c r="C150" s="2" t="s">
        <v>45</v>
      </c>
      <c r="D150" s="3" t="s">
        <v>753</v>
      </c>
      <c r="E150" s="3" t="s">
        <v>754</v>
      </c>
      <c r="F150" s="3" t="s">
        <v>755</v>
      </c>
      <c r="G150" s="3" t="s">
        <v>756</v>
      </c>
      <c r="H150" s="3" t="s">
        <v>757</v>
      </c>
      <c r="I150" s="2" t="s">
        <v>16</v>
      </c>
    </row>
    <row r="151" customFormat="false" ht="35.05" hidden="false" customHeight="false" outlineLevel="0" collapsed="false">
      <c r="A151" s="4" t="n">
        <v>150</v>
      </c>
      <c r="B151" s="5" t="s">
        <v>199</v>
      </c>
      <c r="C151" s="4" t="s">
        <v>45</v>
      </c>
      <c r="D151" s="5" t="s">
        <v>758</v>
      </c>
      <c r="E151" s="5" t="s">
        <v>759</v>
      </c>
      <c r="F151" s="5" t="s">
        <v>760</v>
      </c>
      <c r="G151" s="5" t="s">
        <v>761</v>
      </c>
      <c r="H151" s="5" t="s">
        <v>762</v>
      </c>
      <c r="I151" s="4" t="s">
        <v>16</v>
      </c>
    </row>
    <row r="152" customFormat="false" ht="46.25" hidden="false" customHeight="false" outlineLevel="0" collapsed="false">
      <c r="A152" s="2" t="n">
        <v>151</v>
      </c>
      <c r="B152" s="3" t="s">
        <v>199</v>
      </c>
      <c r="C152" s="2" t="s">
        <v>45</v>
      </c>
      <c r="D152" s="3" t="s">
        <v>763</v>
      </c>
      <c r="E152" s="3" t="s">
        <v>764</v>
      </c>
      <c r="F152" s="3" t="s">
        <v>765</v>
      </c>
      <c r="G152" s="3" t="s">
        <v>766</v>
      </c>
      <c r="H152" s="3" t="s">
        <v>767</v>
      </c>
      <c r="I152" s="2" t="s">
        <v>62</v>
      </c>
    </row>
    <row r="153" customFormat="false" ht="23.85" hidden="false" customHeight="false" outlineLevel="0" collapsed="false">
      <c r="A153" s="4" t="n">
        <v>152</v>
      </c>
      <c r="B153" s="5" t="s">
        <v>240</v>
      </c>
      <c r="C153" s="4" t="s">
        <v>10</v>
      </c>
      <c r="D153" s="5" t="s">
        <v>768</v>
      </c>
      <c r="E153" s="5" t="s">
        <v>769</v>
      </c>
      <c r="F153" s="5" t="s">
        <v>770</v>
      </c>
      <c r="G153" s="5" t="s">
        <v>771</v>
      </c>
      <c r="H153" s="5" t="s">
        <v>772</v>
      </c>
      <c r="I153" s="4" t="s">
        <v>16</v>
      </c>
    </row>
    <row r="154" customFormat="false" ht="15" hidden="false" customHeight="false" outlineLevel="0" collapsed="false">
      <c r="A154" s="2" t="n">
        <v>153</v>
      </c>
      <c r="B154" s="3" t="s">
        <v>240</v>
      </c>
      <c r="C154" s="2" t="s">
        <v>10</v>
      </c>
      <c r="D154" s="3" t="s">
        <v>773</v>
      </c>
      <c r="E154" s="3" t="s">
        <v>774</v>
      </c>
      <c r="F154" s="3" t="s">
        <v>775</v>
      </c>
      <c r="G154" s="3" t="s">
        <v>776</v>
      </c>
      <c r="H154" s="3" t="s">
        <v>777</v>
      </c>
      <c r="I154" s="2" t="s">
        <v>62</v>
      </c>
    </row>
    <row r="155" customFormat="false" ht="23.85" hidden="false" customHeight="false" outlineLevel="0" collapsed="false">
      <c r="A155" s="4" t="n">
        <v>154</v>
      </c>
      <c r="B155" s="5" t="s">
        <v>240</v>
      </c>
      <c r="C155" s="4" t="s">
        <v>10</v>
      </c>
      <c r="D155" s="5" t="s">
        <v>778</v>
      </c>
      <c r="E155" s="5" t="s">
        <v>779</v>
      </c>
      <c r="F155" s="5" t="s">
        <v>780</v>
      </c>
      <c r="G155" s="5" t="s">
        <v>781</v>
      </c>
      <c r="H155" s="5" t="s">
        <v>782</v>
      </c>
      <c r="I155" s="4" t="s">
        <v>34</v>
      </c>
    </row>
    <row r="156" customFormat="false" ht="15" hidden="false" customHeight="false" outlineLevel="0" collapsed="false">
      <c r="A156" s="2" t="n">
        <v>155</v>
      </c>
      <c r="B156" s="3" t="s">
        <v>240</v>
      </c>
      <c r="C156" s="2" t="s">
        <v>10</v>
      </c>
      <c r="D156" s="3" t="s">
        <v>783</v>
      </c>
      <c r="E156" s="3" t="s">
        <v>593</v>
      </c>
      <c r="F156" s="3" t="s">
        <v>784</v>
      </c>
      <c r="G156" s="3" t="s">
        <v>785</v>
      </c>
      <c r="H156" s="3" t="s">
        <v>786</v>
      </c>
      <c r="I156" s="2" t="s">
        <v>27</v>
      </c>
    </row>
    <row r="157" customFormat="false" ht="15" hidden="false" customHeight="false" outlineLevel="0" collapsed="false">
      <c r="A157" s="4" t="n">
        <v>156</v>
      </c>
      <c r="B157" s="5" t="s">
        <v>240</v>
      </c>
      <c r="C157" s="4" t="s">
        <v>10</v>
      </c>
      <c r="D157" s="5" t="s">
        <v>787</v>
      </c>
      <c r="E157" s="5" t="s">
        <v>788</v>
      </c>
      <c r="F157" s="5" t="s">
        <v>789</v>
      </c>
      <c r="G157" s="5" t="s">
        <v>790</v>
      </c>
      <c r="H157" s="5" t="s">
        <v>791</v>
      </c>
      <c r="I157" s="4" t="s">
        <v>34</v>
      </c>
    </row>
    <row r="158" customFormat="false" ht="15" hidden="false" customHeight="false" outlineLevel="0" collapsed="false">
      <c r="A158" s="2" t="n">
        <v>157</v>
      </c>
      <c r="B158" s="3" t="s">
        <v>240</v>
      </c>
      <c r="C158" s="2" t="s">
        <v>10</v>
      </c>
      <c r="D158" s="3" t="s">
        <v>792</v>
      </c>
      <c r="E158" s="3" t="s">
        <v>793</v>
      </c>
      <c r="F158" s="3" t="s">
        <v>794</v>
      </c>
      <c r="G158" s="3" t="s">
        <v>795</v>
      </c>
      <c r="H158" s="3" t="s">
        <v>796</v>
      </c>
      <c r="I158" s="2" t="s">
        <v>27</v>
      </c>
    </row>
    <row r="159" customFormat="false" ht="23.85" hidden="false" customHeight="false" outlineLevel="0" collapsed="false">
      <c r="A159" s="4" t="n">
        <v>158</v>
      </c>
      <c r="B159" s="5" t="s">
        <v>240</v>
      </c>
      <c r="C159" s="4" t="s">
        <v>10</v>
      </c>
      <c r="D159" s="5" t="s">
        <v>797</v>
      </c>
      <c r="E159" s="5" t="s">
        <v>798</v>
      </c>
      <c r="F159" s="5" t="s">
        <v>799</v>
      </c>
      <c r="G159" s="5" t="s">
        <v>800</v>
      </c>
      <c r="H159" s="5" t="s">
        <v>801</v>
      </c>
      <c r="I159" s="4" t="s">
        <v>34</v>
      </c>
    </row>
    <row r="160" customFormat="false" ht="23.85" hidden="false" customHeight="false" outlineLevel="0" collapsed="false">
      <c r="A160" s="2" t="n">
        <v>159</v>
      </c>
      <c r="B160" s="3" t="s">
        <v>240</v>
      </c>
      <c r="C160" s="2" t="s">
        <v>10</v>
      </c>
      <c r="D160" s="3" t="s">
        <v>802</v>
      </c>
      <c r="E160" s="3" t="s">
        <v>803</v>
      </c>
      <c r="F160" s="3" t="s">
        <v>804</v>
      </c>
      <c r="G160" s="3" t="s">
        <v>805</v>
      </c>
      <c r="H160" s="3" t="s">
        <v>523</v>
      </c>
      <c r="I160" s="2" t="s">
        <v>62</v>
      </c>
    </row>
    <row r="161" customFormat="false" ht="23.85" hidden="false" customHeight="false" outlineLevel="0" collapsed="false">
      <c r="A161" s="4" t="n">
        <v>160</v>
      </c>
      <c r="B161" s="5" t="s">
        <v>240</v>
      </c>
      <c r="C161" s="4" t="s">
        <v>28</v>
      </c>
      <c r="D161" s="5" t="s">
        <v>806</v>
      </c>
      <c r="E161" s="5" t="s">
        <v>807</v>
      </c>
      <c r="F161" s="5" t="s">
        <v>808</v>
      </c>
      <c r="G161" s="5" t="s">
        <v>809</v>
      </c>
      <c r="H161" s="5" t="s">
        <v>810</v>
      </c>
      <c r="I161" s="4" t="s">
        <v>16</v>
      </c>
    </row>
    <row r="162" customFormat="false" ht="23.85" hidden="false" customHeight="false" outlineLevel="0" collapsed="false">
      <c r="A162" s="2" t="n">
        <v>161</v>
      </c>
      <c r="B162" s="3" t="s">
        <v>240</v>
      </c>
      <c r="C162" s="2" t="s">
        <v>28</v>
      </c>
      <c r="D162" s="3" t="s">
        <v>811</v>
      </c>
      <c r="E162" s="3" t="s">
        <v>812</v>
      </c>
      <c r="F162" s="3" t="s">
        <v>813</v>
      </c>
      <c r="G162" s="3" t="s">
        <v>814</v>
      </c>
      <c r="H162" s="3" t="s">
        <v>815</v>
      </c>
      <c r="I162" s="2" t="s">
        <v>34</v>
      </c>
    </row>
    <row r="163" customFormat="false" ht="35.05" hidden="false" customHeight="false" outlineLevel="0" collapsed="false">
      <c r="A163" s="4" t="n">
        <v>162</v>
      </c>
      <c r="B163" s="5" t="s">
        <v>240</v>
      </c>
      <c r="C163" s="4" t="s">
        <v>28</v>
      </c>
      <c r="D163" s="5" t="s">
        <v>816</v>
      </c>
      <c r="E163" s="5" t="s">
        <v>817</v>
      </c>
      <c r="F163" s="5" t="s">
        <v>818</v>
      </c>
      <c r="G163" s="5" t="s">
        <v>819</v>
      </c>
      <c r="H163" s="5" t="s">
        <v>820</v>
      </c>
      <c r="I163" s="4" t="s">
        <v>62</v>
      </c>
    </row>
    <row r="164" customFormat="false" ht="23.85" hidden="false" customHeight="false" outlineLevel="0" collapsed="false">
      <c r="A164" s="2" t="n">
        <v>163</v>
      </c>
      <c r="B164" s="3" t="s">
        <v>240</v>
      </c>
      <c r="C164" s="2" t="s">
        <v>28</v>
      </c>
      <c r="D164" s="3" t="s">
        <v>821</v>
      </c>
      <c r="E164" s="3" t="s">
        <v>822</v>
      </c>
      <c r="F164" s="3" t="s">
        <v>823</v>
      </c>
      <c r="G164" s="3" t="s">
        <v>824</v>
      </c>
      <c r="H164" s="3" t="s">
        <v>825</v>
      </c>
      <c r="I164" s="2" t="s">
        <v>27</v>
      </c>
    </row>
    <row r="165" customFormat="false" ht="23.85" hidden="false" customHeight="false" outlineLevel="0" collapsed="false">
      <c r="A165" s="4" t="n">
        <v>164</v>
      </c>
      <c r="B165" s="5" t="s">
        <v>240</v>
      </c>
      <c r="C165" s="4" t="s">
        <v>28</v>
      </c>
      <c r="D165" s="5" t="s">
        <v>826</v>
      </c>
      <c r="E165" s="5" t="s">
        <v>827</v>
      </c>
      <c r="F165" s="5" t="s">
        <v>828</v>
      </c>
      <c r="G165" s="5" t="s">
        <v>829</v>
      </c>
      <c r="H165" s="5" t="s">
        <v>830</v>
      </c>
      <c r="I165" s="4" t="s">
        <v>62</v>
      </c>
    </row>
    <row r="166" customFormat="false" ht="23.85" hidden="false" customHeight="false" outlineLevel="0" collapsed="false">
      <c r="A166" s="2" t="n">
        <v>165</v>
      </c>
      <c r="B166" s="3" t="s">
        <v>240</v>
      </c>
      <c r="C166" s="2" t="s">
        <v>28</v>
      </c>
      <c r="D166" s="3" t="s">
        <v>831</v>
      </c>
      <c r="E166" s="3" t="s">
        <v>832</v>
      </c>
      <c r="F166" s="3" t="s">
        <v>833</v>
      </c>
      <c r="G166" s="3" t="s">
        <v>834</v>
      </c>
      <c r="H166" s="3" t="s">
        <v>835</v>
      </c>
      <c r="I166" s="2" t="s">
        <v>62</v>
      </c>
    </row>
    <row r="167" customFormat="false" ht="23.85" hidden="false" customHeight="false" outlineLevel="0" collapsed="false">
      <c r="A167" s="4" t="n">
        <v>166</v>
      </c>
      <c r="B167" s="5" t="s">
        <v>240</v>
      </c>
      <c r="C167" s="4" t="s">
        <v>28</v>
      </c>
      <c r="D167" s="5" t="s">
        <v>836</v>
      </c>
      <c r="E167" s="5" t="s">
        <v>837</v>
      </c>
      <c r="F167" s="5" t="s">
        <v>838</v>
      </c>
      <c r="G167" s="5" t="s">
        <v>839</v>
      </c>
      <c r="H167" s="5" t="s">
        <v>840</v>
      </c>
      <c r="I167" s="4" t="s">
        <v>16</v>
      </c>
    </row>
    <row r="168" customFormat="false" ht="23.85" hidden="false" customHeight="false" outlineLevel="0" collapsed="false">
      <c r="A168" s="2" t="n">
        <v>167</v>
      </c>
      <c r="B168" s="3" t="s">
        <v>240</v>
      </c>
      <c r="C168" s="2" t="s">
        <v>28</v>
      </c>
      <c r="D168" s="3" t="s">
        <v>841</v>
      </c>
      <c r="E168" s="3" t="s">
        <v>842</v>
      </c>
      <c r="F168" s="3" t="s">
        <v>843</v>
      </c>
      <c r="G168" s="3" t="s">
        <v>844</v>
      </c>
      <c r="H168" s="3" t="s">
        <v>845</v>
      </c>
      <c r="I168" s="2" t="s">
        <v>16</v>
      </c>
    </row>
    <row r="169" customFormat="false" ht="23.85" hidden="false" customHeight="false" outlineLevel="0" collapsed="false">
      <c r="A169" s="4" t="n">
        <v>168</v>
      </c>
      <c r="B169" s="5" t="s">
        <v>240</v>
      </c>
      <c r="C169" s="4" t="s">
        <v>28</v>
      </c>
      <c r="D169" s="5" t="s">
        <v>846</v>
      </c>
      <c r="E169" s="5" t="s">
        <v>847</v>
      </c>
      <c r="F169" s="5" t="s">
        <v>848</v>
      </c>
      <c r="G169" s="5" t="s">
        <v>849</v>
      </c>
      <c r="H169" s="5" t="s">
        <v>850</v>
      </c>
      <c r="I169" s="4" t="s">
        <v>62</v>
      </c>
    </row>
    <row r="170" customFormat="false" ht="23.85" hidden="false" customHeight="false" outlineLevel="0" collapsed="false">
      <c r="A170" s="2" t="n">
        <v>169</v>
      </c>
      <c r="B170" s="3" t="s">
        <v>240</v>
      </c>
      <c r="C170" s="2" t="s">
        <v>28</v>
      </c>
      <c r="D170" s="3" t="s">
        <v>851</v>
      </c>
      <c r="E170" s="3" t="s">
        <v>852</v>
      </c>
      <c r="F170" s="3" t="s">
        <v>853</v>
      </c>
      <c r="G170" s="3" t="s">
        <v>854</v>
      </c>
      <c r="H170" s="3" t="s">
        <v>855</v>
      </c>
      <c r="I170" s="2" t="s">
        <v>34</v>
      </c>
    </row>
    <row r="171" customFormat="false" ht="23.85" hidden="false" customHeight="false" outlineLevel="0" collapsed="false">
      <c r="A171" s="4" t="n">
        <v>170</v>
      </c>
      <c r="B171" s="5" t="s">
        <v>240</v>
      </c>
      <c r="C171" s="4" t="s">
        <v>28</v>
      </c>
      <c r="D171" s="5" t="s">
        <v>856</v>
      </c>
      <c r="E171" s="5" t="s">
        <v>857</v>
      </c>
      <c r="F171" s="5" t="s">
        <v>858</v>
      </c>
      <c r="G171" s="5" t="s">
        <v>859</v>
      </c>
      <c r="H171" s="5" t="s">
        <v>860</v>
      </c>
      <c r="I171" s="4" t="s">
        <v>62</v>
      </c>
    </row>
    <row r="172" customFormat="false" ht="23.85" hidden="false" customHeight="false" outlineLevel="0" collapsed="false">
      <c r="A172" s="2" t="n">
        <v>171</v>
      </c>
      <c r="B172" s="3" t="s">
        <v>240</v>
      </c>
      <c r="C172" s="2" t="s">
        <v>45</v>
      </c>
      <c r="D172" s="3" t="s">
        <v>861</v>
      </c>
      <c r="E172" s="3" t="s">
        <v>862</v>
      </c>
      <c r="F172" s="3" t="s">
        <v>863</v>
      </c>
      <c r="G172" s="3" t="s">
        <v>864</v>
      </c>
      <c r="H172" s="3" t="s">
        <v>865</v>
      </c>
      <c r="I172" s="2" t="s">
        <v>62</v>
      </c>
    </row>
    <row r="173" customFormat="false" ht="35.05" hidden="false" customHeight="false" outlineLevel="0" collapsed="false">
      <c r="A173" s="4" t="n">
        <v>172</v>
      </c>
      <c r="B173" s="5" t="s">
        <v>240</v>
      </c>
      <c r="C173" s="4" t="s">
        <v>45</v>
      </c>
      <c r="D173" s="5" t="s">
        <v>866</v>
      </c>
      <c r="E173" s="5" t="s">
        <v>867</v>
      </c>
      <c r="F173" s="5" t="s">
        <v>868</v>
      </c>
      <c r="G173" s="5" t="s">
        <v>869</v>
      </c>
      <c r="H173" s="5" t="s">
        <v>870</v>
      </c>
      <c r="I173" s="4" t="s">
        <v>16</v>
      </c>
    </row>
    <row r="174" customFormat="false" ht="35.05" hidden="false" customHeight="false" outlineLevel="0" collapsed="false">
      <c r="A174" s="2" t="n">
        <v>173</v>
      </c>
      <c r="B174" s="3" t="s">
        <v>240</v>
      </c>
      <c r="C174" s="2" t="s">
        <v>45</v>
      </c>
      <c r="D174" s="3" t="s">
        <v>871</v>
      </c>
      <c r="E174" s="3" t="s">
        <v>872</v>
      </c>
      <c r="F174" s="3" t="s">
        <v>873</v>
      </c>
      <c r="G174" s="3" t="s">
        <v>874</v>
      </c>
      <c r="H174" s="3" t="s">
        <v>875</v>
      </c>
      <c r="I174" s="2" t="s">
        <v>16</v>
      </c>
    </row>
    <row r="175" customFormat="false" ht="23.85" hidden="false" customHeight="false" outlineLevel="0" collapsed="false">
      <c r="A175" s="4" t="n">
        <v>174</v>
      </c>
      <c r="B175" s="5" t="s">
        <v>240</v>
      </c>
      <c r="C175" s="4" t="s">
        <v>45</v>
      </c>
      <c r="D175" s="5" t="s">
        <v>876</v>
      </c>
      <c r="E175" s="5" t="s">
        <v>877</v>
      </c>
      <c r="F175" s="5" t="s">
        <v>878</v>
      </c>
      <c r="G175" s="5" t="s">
        <v>879</v>
      </c>
      <c r="H175" s="5" t="s">
        <v>880</v>
      </c>
      <c r="I175" s="4" t="s">
        <v>62</v>
      </c>
    </row>
    <row r="176" customFormat="false" ht="23.85" hidden="false" customHeight="false" outlineLevel="0" collapsed="false">
      <c r="A176" s="2" t="n">
        <v>175</v>
      </c>
      <c r="B176" s="3" t="s">
        <v>240</v>
      </c>
      <c r="C176" s="2" t="s">
        <v>45</v>
      </c>
      <c r="D176" s="3" t="s">
        <v>881</v>
      </c>
      <c r="E176" s="3" t="s">
        <v>882</v>
      </c>
      <c r="F176" s="3" t="s">
        <v>883</v>
      </c>
      <c r="G176" s="3" t="s">
        <v>884</v>
      </c>
      <c r="H176" s="3" t="s">
        <v>885</v>
      </c>
      <c r="I176" s="2" t="s">
        <v>27</v>
      </c>
    </row>
    <row r="177" customFormat="false" ht="23.85" hidden="false" customHeight="false" outlineLevel="0" collapsed="false">
      <c r="A177" s="4" t="n">
        <v>176</v>
      </c>
      <c r="B177" s="5" t="s">
        <v>240</v>
      </c>
      <c r="C177" s="4" t="s">
        <v>45</v>
      </c>
      <c r="D177" s="5" t="s">
        <v>886</v>
      </c>
      <c r="E177" s="5" t="s">
        <v>887</v>
      </c>
      <c r="F177" s="5" t="s">
        <v>888</v>
      </c>
      <c r="G177" s="5" t="s">
        <v>889</v>
      </c>
      <c r="H177" s="5" t="s">
        <v>890</v>
      </c>
      <c r="I177" s="4" t="s">
        <v>16</v>
      </c>
    </row>
    <row r="178" customFormat="false" ht="23.85" hidden="false" customHeight="false" outlineLevel="0" collapsed="false">
      <c r="A178" s="2" t="n">
        <v>177</v>
      </c>
      <c r="B178" s="3" t="s">
        <v>240</v>
      </c>
      <c r="C178" s="2" t="s">
        <v>45</v>
      </c>
      <c r="D178" s="3" t="s">
        <v>891</v>
      </c>
      <c r="E178" s="3" t="s">
        <v>892</v>
      </c>
      <c r="F178" s="3" t="s">
        <v>893</v>
      </c>
      <c r="G178" s="3" t="s">
        <v>894</v>
      </c>
      <c r="H178" s="3" t="s">
        <v>895</v>
      </c>
      <c r="I178" s="2" t="s">
        <v>27</v>
      </c>
    </row>
    <row r="179" customFormat="false" ht="23.85" hidden="false" customHeight="false" outlineLevel="0" collapsed="false">
      <c r="A179" s="4" t="n">
        <v>178</v>
      </c>
      <c r="B179" s="5" t="s">
        <v>240</v>
      </c>
      <c r="C179" s="4" t="s">
        <v>45</v>
      </c>
      <c r="D179" s="5" t="s">
        <v>896</v>
      </c>
      <c r="E179" s="5" t="s">
        <v>897</v>
      </c>
      <c r="F179" s="5" t="s">
        <v>898</v>
      </c>
      <c r="G179" s="5" t="s">
        <v>899</v>
      </c>
      <c r="H179" s="5" t="s">
        <v>900</v>
      </c>
      <c r="I179" s="4" t="s">
        <v>16</v>
      </c>
    </row>
    <row r="180" customFormat="false" ht="23.85" hidden="false" customHeight="false" outlineLevel="0" collapsed="false">
      <c r="A180" s="2" t="n">
        <v>179</v>
      </c>
      <c r="B180" s="3" t="s">
        <v>240</v>
      </c>
      <c r="C180" s="2" t="s">
        <v>45</v>
      </c>
      <c r="D180" s="3" t="s">
        <v>901</v>
      </c>
      <c r="E180" s="3" t="s">
        <v>902</v>
      </c>
      <c r="F180" s="3" t="s">
        <v>903</v>
      </c>
      <c r="G180" s="3" t="s">
        <v>904</v>
      </c>
      <c r="H180" s="3" t="s">
        <v>905</v>
      </c>
      <c r="I180" s="2" t="s">
        <v>27</v>
      </c>
    </row>
    <row r="181" customFormat="false" ht="15" hidden="false" customHeight="false" outlineLevel="0" collapsed="false">
      <c r="A181" s="4" t="n">
        <v>180</v>
      </c>
      <c r="B181" s="5" t="s">
        <v>301</v>
      </c>
      <c r="C181" s="4" t="s">
        <v>10</v>
      </c>
      <c r="D181" s="5" t="s">
        <v>906</v>
      </c>
      <c r="E181" s="5" t="s">
        <v>907</v>
      </c>
      <c r="F181" s="5" t="s">
        <v>908</v>
      </c>
      <c r="G181" s="5" t="s">
        <v>909</v>
      </c>
      <c r="H181" s="5" t="s">
        <v>910</v>
      </c>
      <c r="I181" s="4" t="s">
        <v>34</v>
      </c>
    </row>
    <row r="182" customFormat="false" ht="23.85" hidden="false" customHeight="false" outlineLevel="0" collapsed="false">
      <c r="A182" s="2" t="n">
        <v>181</v>
      </c>
      <c r="B182" s="3" t="s">
        <v>301</v>
      </c>
      <c r="C182" s="2" t="s">
        <v>10</v>
      </c>
      <c r="D182" s="3" t="s">
        <v>911</v>
      </c>
      <c r="E182" s="3" t="s">
        <v>912</v>
      </c>
      <c r="F182" s="3" t="s">
        <v>913</v>
      </c>
      <c r="G182" s="3" t="s">
        <v>914</v>
      </c>
      <c r="H182" s="3" t="s">
        <v>915</v>
      </c>
      <c r="I182" s="2" t="s">
        <v>34</v>
      </c>
    </row>
    <row r="183" customFormat="false" ht="23.85" hidden="false" customHeight="false" outlineLevel="0" collapsed="false">
      <c r="A183" s="4" t="n">
        <v>182</v>
      </c>
      <c r="B183" s="5" t="s">
        <v>301</v>
      </c>
      <c r="C183" s="4" t="s">
        <v>10</v>
      </c>
      <c r="D183" s="5" t="s">
        <v>916</v>
      </c>
      <c r="E183" s="5" t="s">
        <v>917</v>
      </c>
      <c r="F183" s="5" t="s">
        <v>918</v>
      </c>
      <c r="G183" s="5" t="s">
        <v>919</v>
      </c>
      <c r="H183" s="5" t="s">
        <v>920</v>
      </c>
      <c r="I183" s="4" t="s">
        <v>62</v>
      </c>
    </row>
    <row r="184" customFormat="false" ht="23.85" hidden="false" customHeight="false" outlineLevel="0" collapsed="false">
      <c r="A184" s="2" t="n">
        <v>183</v>
      </c>
      <c r="B184" s="3" t="s">
        <v>301</v>
      </c>
      <c r="C184" s="2" t="s">
        <v>10</v>
      </c>
      <c r="D184" s="3" t="s">
        <v>921</v>
      </c>
      <c r="E184" s="3" t="s">
        <v>847</v>
      </c>
      <c r="F184" s="3" t="s">
        <v>922</v>
      </c>
      <c r="G184" s="3" t="s">
        <v>923</v>
      </c>
      <c r="H184" s="3" t="s">
        <v>924</v>
      </c>
      <c r="I184" s="2" t="s">
        <v>16</v>
      </c>
    </row>
    <row r="185" customFormat="false" ht="23.85" hidden="false" customHeight="false" outlineLevel="0" collapsed="false">
      <c r="A185" s="4" t="n">
        <v>184</v>
      </c>
      <c r="B185" s="5" t="s">
        <v>301</v>
      </c>
      <c r="C185" s="4" t="s">
        <v>10</v>
      </c>
      <c r="D185" s="5" t="s">
        <v>925</v>
      </c>
      <c r="E185" s="5" t="s">
        <v>803</v>
      </c>
      <c r="F185" s="5" t="s">
        <v>926</v>
      </c>
      <c r="G185" s="5" t="s">
        <v>927</v>
      </c>
      <c r="H185" s="5" t="s">
        <v>928</v>
      </c>
      <c r="I185" s="4" t="s">
        <v>16</v>
      </c>
    </row>
    <row r="186" customFormat="false" ht="23.85" hidden="false" customHeight="false" outlineLevel="0" collapsed="false">
      <c r="A186" s="2" t="n">
        <v>185</v>
      </c>
      <c r="B186" s="3" t="s">
        <v>301</v>
      </c>
      <c r="C186" s="2" t="s">
        <v>10</v>
      </c>
      <c r="D186" s="3" t="s">
        <v>929</v>
      </c>
      <c r="E186" s="3" t="s">
        <v>930</v>
      </c>
      <c r="F186" s="3" t="s">
        <v>931</v>
      </c>
      <c r="G186" s="3" t="s">
        <v>932</v>
      </c>
      <c r="H186" s="3" t="s">
        <v>933</v>
      </c>
      <c r="I186" s="2" t="s">
        <v>16</v>
      </c>
    </row>
    <row r="187" customFormat="false" ht="23.85" hidden="false" customHeight="false" outlineLevel="0" collapsed="false">
      <c r="A187" s="4" t="n">
        <v>186</v>
      </c>
      <c r="B187" s="5" t="s">
        <v>301</v>
      </c>
      <c r="C187" s="4" t="s">
        <v>28</v>
      </c>
      <c r="D187" s="5" t="s">
        <v>934</v>
      </c>
      <c r="E187" s="5" t="s">
        <v>935</v>
      </c>
      <c r="F187" s="5" t="s">
        <v>936</v>
      </c>
      <c r="G187" s="5" t="s">
        <v>937</v>
      </c>
      <c r="H187" s="5" t="s">
        <v>938</v>
      </c>
      <c r="I187" s="4" t="s">
        <v>34</v>
      </c>
    </row>
    <row r="188" customFormat="false" ht="23.85" hidden="false" customHeight="false" outlineLevel="0" collapsed="false">
      <c r="A188" s="2" t="n">
        <v>187</v>
      </c>
      <c r="B188" s="3" t="s">
        <v>301</v>
      </c>
      <c r="C188" s="2" t="s">
        <v>28</v>
      </c>
      <c r="D188" s="3" t="s">
        <v>939</v>
      </c>
      <c r="E188" s="3" t="s">
        <v>940</v>
      </c>
      <c r="F188" s="3" t="s">
        <v>941</v>
      </c>
      <c r="G188" s="3" t="s">
        <v>942</v>
      </c>
      <c r="H188" s="3" t="s">
        <v>943</v>
      </c>
      <c r="I188" s="2" t="s">
        <v>27</v>
      </c>
    </row>
    <row r="189" customFormat="false" ht="23.85" hidden="false" customHeight="false" outlineLevel="0" collapsed="false">
      <c r="A189" s="4" t="n">
        <v>188</v>
      </c>
      <c r="B189" s="5" t="s">
        <v>301</v>
      </c>
      <c r="C189" s="4" t="s">
        <v>28</v>
      </c>
      <c r="D189" s="5" t="s">
        <v>944</v>
      </c>
      <c r="E189" s="5" t="s">
        <v>945</v>
      </c>
      <c r="F189" s="5" t="s">
        <v>946</v>
      </c>
      <c r="G189" s="5" t="s">
        <v>947</v>
      </c>
      <c r="H189" s="5" t="s">
        <v>948</v>
      </c>
      <c r="I189" s="4" t="s">
        <v>62</v>
      </c>
    </row>
    <row r="190" customFormat="false" ht="35.05" hidden="false" customHeight="false" outlineLevel="0" collapsed="false">
      <c r="A190" s="2" t="n">
        <v>189</v>
      </c>
      <c r="B190" s="3" t="s">
        <v>301</v>
      </c>
      <c r="C190" s="2" t="s">
        <v>28</v>
      </c>
      <c r="D190" s="3" t="s">
        <v>949</v>
      </c>
      <c r="E190" s="3" t="s">
        <v>950</v>
      </c>
      <c r="F190" s="3" t="s">
        <v>951</v>
      </c>
      <c r="G190" s="3" t="s">
        <v>529</v>
      </c>
      <c r="H190" s="3" t="s">
        <v>952</v>
      </c>
      <c r="I190" s="2" t="s">
        <v>27</v>
      </c>
    </row>
    <row r="191" customFormat="false" ht="23.85" hidden="false" customHeight="false" outlineLevel="0" collapsed="false">
      <c r="A191" s="4" t="n">
        <v>190</v>
      </c>
      <c r="B191" s="5" t="s">
        <v>301</v>
      </c>
      <c r="C191" s="4" t="s">
        <v>28</v>
      </c>
      <c r="D191" s="5" t="s">
        <v>953</v>
      </c>
      <c r="E191" s="5" t="s">
        <v>954</v>
      </c>
      <c r="F191" s="5" t="s">
        <v>955</v>
      </c>
      <c r="G191" s="5" t="s">
        <v>956</v>
      </c>
      <c r="H191" s="5" t="s">
        <v>957</v>
      </c>
      <c r="I191" s="4" t="s">
        <v>16</v>
      </c>
    </row>
    <row r="192" customFormat="false" ht="23.85" hidden="false" customHeight="false" outlineLevel="0" collapsed="false">
      <c r="A192" s="2" t="n">
        <v>191</v>
      </c>
      <c r="B192" s="3" t="s">
        <v>301</v>
      </c>
      <c r="C192" s="2" t="s">
        <v>28</v>
      </c>
      <c r="D192" s="3" t="s">
        <v>958</v>
      </c>
      <c r="E192" s="3" t="s">
        <v>959</v>
      </c>
      <c r="F192" s="3" t="s">
        <v>960</v>
      </c>
      <c r="G192" s="3" t="s">
        <v>961</v>
      </c>
      <c r="H192" s="3" t="s">
        <v>962</v>
      </c>
      <c r="I192" s="2" t="s">
        <v>34</v>
      </c>
    </row>
    <row r="193" customFormat="false" ht="35.05" hidden="false" customHeight="false" outlineLevel="0" collapsed="false">
      <c r="A193" s="4" t="n">
        <v>192</v>
      </c>
      <c r="B193" s="5" t="s">
        <v>301</v>
      </c>
      <c r="C193" s="4" t="s">
        <v>28</v>
      </c>
      <c r="D193" s="5" t="s">
        <v>963</v>
      </c>
      <c r="E193" s="5" t="s">
        <v>964</v>
      </c>
      <c r="F193" s="5" t="s">
        <v>965</v>
      </c>
      <c r="G193" s="5" t="s">
        <v>966</v>
      </c>
      <c r="H193" s="5" t="s">
        <v>967</v>
      </c>
      <c r="I193" s="4" t="s">
        <v>16</v>
      </c>
    </row>
    <row r="194" customFormat="false" ht="23.85" hidden="false" customHeight="false" outlineLevel="0" collapsed="false">
      <c r="A194" s="2" t="n">
        <v>193</v>
      </c>
      <c r="B194" s="3" t="s">
        <v>301</v>
      </c>
      <c r="C194" s="2" t="s">
        <v>28</v>
      </c>
      <c r="D194" s="3" t="s">
        <v>968</v>
      </c>
      <c r="E194" s="3" t="s">
        <v>969</v>
      </c>
      <c r="F194" s="3" t="s">
        <v>970</v>
      </c>
      <c r="G194" s="3" t="s">
        <v>971</v>
      </c>
      <c r="H194" s="3" t="s">
        <v>308</v>
      </c>
      <c r="I194" s="2" t="s">
        <v>34</v>
      </c>
    </row>
    <row r="195" customFormat="false" ht="35.05" hidden="false" customHeight="false" outlineLevel="0" collapsed="false">
      <c r="A195" s="4" t="n">
        <v>194</v>
      </c>
      <c r="B195" s="5" t="s">
        <v>301</v>
      </c>
      <c r="C195" s="4" t="s">
        <v>45</v>
      </c>
      <c r="D195" s="5" t="s">
        <v>972</v>
      </c>
      <c r="E195" s="5" t="s">
        <v>973</v>
      </c>
      <c r="F195" s="5" t="s">
        <v>974</v>
      </c>
      <c r="G195" s="5" t="s">
        <v>975</v>
      </c>
      <c r="H195" s="5" t="s">
        <v>976</v>
      </c>
      <c r="I195" s="4" t="s">
        <v>62</v>
      </c>
    </row>
    <row r="196" customFormat="false" ht="46.25" hidden="false" customHeight="false" outlineLevel="0" collapsed="false">
      <c r="A196" s="2" t="n">
        <v>195</v>
      </c>
      <c r="B196" s="3" t="s">
        <v>301</v>
      </c>
      <c r="C196" s="2" t="s">
        <v>45</v>
      </c>
      <c r="D196" s="3" t="s">
        <v>977</v>
      </c>
      <c r="E196" s="3" t="s">
        <v>978</v>
      </c>
      <c r="F196" s="3" t="s">
        <v>979</v>
      </c>
      <c r="G196" s="3" t="s">
        <v>980</v>
      </c>
      <c r="H196" s="3" t="s">
        <v>981</v>
      </c>
      <c r="I196" s="2" t="s">
        <v>62</v>
      </c>
    </row>
    <row r="197" customFormat="false" ht="35.05" hidden="false" customHeight="false" outlineLevel="0" collapsed="false">
      <c r="A197" s="4" t="n">
        <v>196</v>
      </c>
      <c r="B197" s="5" t="s">
        <v>301</v>
      </c>
      <c r="C197" s="4" t="s">
        <v>45</v>
      </c>
      <c r="D197" s="5" t="s">
        <v>982</v>
      </c>
      <c r="E197" s="5" t="s">
        <v>983</v>
      </c>
      <c r="F197" s="5" t="s">
        <v>984</v>
      </c>
      <c r="G197" s="5" t="s">
        <v>985</v>
      </c>
      <c r="H197" s="5" t="s">
        <v>986</v>
      </c>
      <c r="I197" s="4" t="s">
        <v>27</v>
      </c>
    </row>
    <row r="198" customFormat="false" ht="35.05" hidden="false" customHeight="false" outlineLevel="0" collapsed="false">
      <c r="A198" s="2" t="n">
        <v>197</v>
      </c>
      <c r="B198" s="3" t="s">
        <v>301</v>
      </c>
      <c r="C198" s="2" t="s">
        <v>45</v>
      </c>
      <c r="D198" s="3" t="s">
        <v>987</v>
      </c>
      <c r="E198" s="3" t="s">
        <v>988</v>
      </c>
      <c r="F198" s="3" t="s">
        <v>989</v>
      </c>
      <c r="G198" s="3" t="s">
        <v>990</v>
      </c>
      <c r="H198" s="3" t="s">
        <v>991</v>
      </c>
      <c r="I198" s="2" t="s">
        <v>27</v>
      </c>
    </row>
    <row r="199" customFormat="false" ht="35.05" hidden="false" customHeight="false" outlineLevel="0" collapsed="false">
      <c r="A199" s="4" t="n">
        <v>198</v>
      </c>
      <c r="B199" s="5" t="s">
        <v>301</v>
      </c>
      <c r="C199" s="4" t="s">
        <v>45</v>
      </c>
      <c r="D199" s="5" t="s">
        <v>992</v>
      </c>
      <c r="E199" s="5" t="s">
        <v>993</v>
      </c>
      <c r="F199" s="5" t="s">
        <v>994</v>
      </c>
      <c r="G199" s="5" t="s">
        <v>995</v>
      </c>
      <c r="H199" s="5" t="s">
        <v>996</v>
      </c>
      <c r="I199" s="4" t="s">
        <v>34</v>
      </c>
    </row>
    <row r="200" customFormat="false" ht="23.85" hidden="false" customHeight="false" outlineLevel="0" collapsed="false">
      <c r="A200" s="2" t="n">
        <v>199</v>
      </c>
      <c r="B200" s="3" t="s">
        <v>332</v>
      </c>
      <c r="C200" s="2" t="s">
        <v>10</v>
      </c>
      <c r="D200" s="3" t="s">
        <v>997</v>
      </c>
      <c r="E200" s="3" t="s">
        <v>998</v>
      </c>
      <c r="F200" s="3" t="s">
        <v>999</v>
      </c>
      <c r="G200" s="3" t="s">
        <v>1000</v>
      </c>
      <c r="H200" s="3" t="s">
        <v>1001</v>
      </c>
      <c r="I200" s="2" t="s">
        <v>62</v>
      </c>
    </row>
    <row r="201" customFormat="false" ht="23.85" hidden="false" customHeight="false" outlineLevel="0" collapsed="false">
      <c r="A201" s="4" t="n">
        <v>200</v>
      </c>
      <c r="B201" s="5" t="s">
        <v>332</v>
      </c>
      <c r="C201" s="4" t="s">
        <v>10</v>
      </c>
      <c r="D201" s="5" t="s">
        <v>1002</v>
      </c>
      <c r="E201" s="5" t="s">
        <v>1003</v>
      </c>
      <c r="F201" s="5" t="s">
        <v>1004</v>
      </c>
      <c r="G201" s="5" t="s">
        <v>1005</v>
      </c>
      <c r="H201" s="5" t="s">
        <v>1006</v>
      </c>
      <c r="I201" s="4" t="s">
        <v>16</v>
      </c>
    </row>
    <row r="202" customFormat="false" ht="23.85" hidden="false" customHeight="false" outlineLevel="0" collapsed="false">
      <c r="A202" s="2" t="n">
        <v>201</v>
      </c>
      <c r="B202" s="3" t="s">
        <v>332</v>
      </c>
      <c r="C202" s="2" t="s">
        <v>10</v>
      </c>
      <c r="D202" s="3" t="s">
        <v>1007</v>
      </c>
      <c r="E202" s="3" t="s">
        <v>1008</v>
      </c>
      <c r="F202" s="3" t="s">
        <v>1009</v>
      </c>
      <c r="G202" s="3" t="s">
        <v>1010</v>
      </c>
      <c r="H202" s="3" t="s">
        <v>1011</v>
      </c>
      <c r="I202" s="2" t="s">
        <v>16</v>
      </c>
    </row>
    <row r="203" customFormat="false" ht="23.85" hidden="false" customHeight="false" outlineLevel="0" collapsed="false">
      <c r="A203" s="4" t="n">
        <v>202</v>
      </c>
      <c r="B203" s="5" t="s">
        <v>332</v>
      </c>
      <c r="C203" s="4" t="s">
        <v>10</v>
      </c>
      <c r="D203" s="5" t="s">
        <v>1012</v>
      </c>
      <c r="E203" s="5" t="s">
        <v>1013</v>
      </c>
      <c r="F203" s="5" t="s">
        <v>1014</v>
      </c>
      <c r="G203" s="5" t="s">
        <v>1015</v>
      </c>
      <c r="H203" s="5" t="s">
        <v>1016</v>
      </c>
      <c r="I203" s="4" t="s">
        <v>16</v>
      </c>
    </row>
    <row r="204" customFormat="false" ht="23.85" hidden="false" customHeight="false" outlineLevel="0" collapsed="false">
      <c r="A204" s="2" t="n">
        <v>203</v>
      </c>
      <c r="B204" s="3" t="s">
        <v>332</v>
      </c>
      <c r="C204" s="2" t="s">
        <v>28</v>
      </c>
      <c r="D204" s="3" t="s">
        <v>1017</v>
      </c>
      <c r="E204" s="3" t="s">
        <v>1018</v>
      </c>
      <c r="F204" s="3" t="s">
        <v>1019</v>
      </c>
      <c r="G204" s="3" t="s">
        <v>1020</v>
      </c>
      <c r="H204" s="3" t="s">
        <v>1021</v>
      </c>
      <c r="I204" s="2" t="s">
        <v>34</v>
      </c>
    </row>
    <row r="205" customFormat="false" ht="23.85" hidden="false" customHeight="false" outlineLevel="0" collapsed="false">
      <c r="A205" s="4" t="n">
        <v>204</v>
      </c>
      <c r="B205" s="5" t="s">
        <v>332</v>
      </c>
      <c r="C205" s="4" t="s">
        <v>28</v>
      </c>
      <c r="D205" s="5" t="s">
        <v>1022</v>
      </c>
      <c r="E205" s="5" t="s">
        <v>1023</v>
      </c>
      <c r="F205" s="5" t="s">
        <v>1024</v>
      </c>
      <c r="G205" s="5" t="s">
        <v>1025</v>
      </c>
      <c r="H205" s="5" t="s">
        <v>1026</v>
      </c>
      <c r="I205" s="4" t="s">
        <v>62</v>
      </c>
    </row>
    <row r="206" customFormat="false" ht="23.85" hidden="false" customHeight="false" outlineLevel="0" collapsed="false">
      <c r="A206" s="2" t="n">
        <v>205</v>
      </c>
      <c r="B206" s="3" t="s">
        <v>332</v>
      </c>
      <c r="C206" s="2" t="s">
        <v>28</v>
      </c>
      <c r="D206" s="3" t="s">
        <v>1027</v>
      </c>
      <c r="E206" s="3" t="s">
        <v>961</v>
      </c>
      <c r="F206" s="3" t="s">
        <v>1028</v>
      </c>
      <c r="G206" s="3" t="s">
        <v>1029</v>
      </c>
      <c r="H206" s="3" t="s">
        <v>1030</v>
      </c>
      <c r="I206" s="2" t="s">
        <v>27</v>
      </c>
    </row>
    <row r="207" customFormat="false" ht="23.85" hidden="false" customHeight="false" outlineLevel="0" collapsed="false">
      <c r="A207" s="4" t="n">
        <v>206</v>
      </c>
      <c r="B207" s="5" t="s">
        <v>332</v>
      </c>
      <c r="C207" s="4" t="s">
        <v>28</v>
      </c>
      <c r="D207" s="5" t="s">
        <v>1031</v>
      </c>
      <c r="E207" s="5" t="s">
        <v>1032</v>
      </c>
      <c r="F207" s="5" t="s">
        <v>1033</v>
      </c>
      <c r="G207" s="5" t="s">
        <v>1034</v>
      </c>
      <c r="H207" s="5" t="s">
        <v>1035</v>
      </c>
      <c r="I207" s="4" t="s">
        <v>27</v>
      </c>
    </row>
    <row r="208" customFormat="false" ht="23.85" hidden="false" customHeight="false" outlineLevel="0" collapsed="false">
      <c r="A208" s="2" t="n">
        <v>207</v>
      </c>
      <c r="B208" s="3" t="s">
        <v>332</v>
      </c>
      <c r="C208" s="2" t="s">
        <v>28</v>
      </c>
      <c r="D208" s="3" t="s">
        <v>1036</v>
      </c>
      <c r="E208" s="3" t="s">
        <v>1037</v>
      </c>
      <c r="F208" s="3" t="s">
        <v>1038</v>
      </c>
      <c r="G208" s="3" t="s">
        <v>1039</v>
      </c>
      <c r="H208" s="3" t="s">
        <v>1040</v>
      </c>
      <c r="I208" s="2" t="s">
        <v>27</v>
      </c>
    </row>
    <row r="209" customFormat="false" ht="23.85" hidden="false" customHeight="false" outlineLevel="0" collapsed="false">
      <c r="A209" s="4" t="n">
        <v>208</v>
      </c>
      <c r="B209" s="5" t="s">
        <v>332</v>
      </c>
      <c r="C209" s="4" t="s">
        <v>28</v>
      </c>
      <c r="D209" s="5" t="s">
        <v>1041</v>
      </c>
      <c r="E209" s="5" t="s">
        <v>1042</v>
      </c>
      <c r="F209" s="5" t="s">
        <v>1043</v>
      </c>
      <c r="G209" s="5" t="s">
        <v>1044</v>
      </c>
      <c r="H209" s="5" t="s">
        <v>1045</v>
      </c>
      <c r="I209" s="4" t="s">
        <v>62</v>
      </c>
    </row>
    <row r="210" customFormat="false" ht="35.05" hidden="false" customHeight="false" outlineLevel="0" collapsed="false">
      <c r="A210" s="2" t="n">
        <v>209</v>
      </c>
      <c r="B210" s="3" t="s">
        <v>332</v>
      </c>
      <c r="C210" s="2" t="s">
        <v>45</v>
      </c>
      <c r="D210" s="3" t="s">
        <v>1046</v>
      </c>
      <c r="E210" s="3" t="s">
        <v>1047</v>
      </c>
      <c r="F210" s="3" t="s">
        <v>1048</v>
      </c>
      <c r="G210" s="3" t="s">
        <v>1049</v>
      </c>
      <c r="H210" s="3" t="s">
        <v>1050</v>
      </c>
      <c r="I210" s="2" t="s">
        <v>34</v>
      </c>
    </row>
    <row r="211" customFormat="false" ht="35.05" hidden="false" customHeight="false" outlineLevel="0" collapsed="false">
      <c r="A211" s="4" t="n">
        <v>210</v>
      </c>
      <c r="B211" s="5" t="s">
        <v>332</v>
      </c>
      <c r="C211" s="4" t="s">
        <v>45</v>
      </c>
      <c r="D211" s="5" t="s">
        <v>1051</v>
      </c>
      <c r="E211" s="5" t="s">
        <v>1052</v>
      </c>
      <c r="F211" s="5" t="s">
        <v>1053</v>
      </c>
      <c r="G211" s="5" t="s">
        <v>1054</v>
      </c>
      <c r="H211" s="5" t="s">
        <v>1055</v>
      </c>
      <c r="I211" s="4" t="s">
        <v>27</v>
      </c>
    </row>
    <row r="212" customFormat="false" ht="35.05" hidden="false" customHeight="false" outlineLevel="0" collapsed="false">
      <c r="A212" s="2" t="n">
        <v>211</v>
      </c>
      <c r="B212" s="3" t="s">
        <v>332</v>
      </c>
      <c r="C212" s="2" t="s">
        <v>45</v>
      </c>
      <c r="D212" s="3" t="s">
        <v>1056</v>
      </c>
      <c r="E212" s="3" t="s">
        <v>1057</v>
      </c>
      <c r="F212" s="3" t="s">
        <v>1058</v>
      </c>
      <c r="G212" s="3" t="s">
        <v>1059</v>
      </c>
      <c r="H212" s="3" t="s">
        <v>1060</v>
      </c>
      <c r="I212" s="2" t="s">
        <v>62</v>
      </c>
    </row>
    <row r="213" customFormat="false" ht="35.05" hidden="false" customHeight="false" outlineLevel="0" collapsed="false">
      <c r="A213" s="4" t="n">
        <v>212</v>
      </c>
      <c r="B213" s="5" t="s">
        <v>332</v>
      </c>
      <c r="C213" s="4" t="s">
        <v>45</v>
      </c>
      <c r="D213" s="5" t="s">
        <v>1061</v>
      </c>
      <c r="E213" s="5" t="s">
        <v>1062</v>
      </c>
      <c r="F213" s="5" t="s">
        <v>1063</v>
      </c>
      <c r="G213" s="5" t="s">
        <v>1064</v>
      </c>
      <c r="H213" s="5" t="s">
        <v>1065</v>
      </c>
      <c r="I213" s="4" t="s">
        <v>62</v>
      </c>
    </row>
    <row r="214" customFormat="false" ht="35.05" hidden="false" customHeight="false" outlineLevel="0" collapsed="false">
      <c r="A214" s="2" t="n">
        <v>213</v>
      </c>
      <c r="B214" s="3" t="s">
        <v>332</v>
      </c>
      <c r="C214" s="2" t="s">
        <v>45</v>
      </c>
      <c r="D214" s="3" t="s">
        <v>1066</v>
      </c>
      <c r="E214" s="3" t="s">
        <v>1067</v>
      </c>
      <c r="F214" s="3" t="s">
        <v>1068</v>
      </c>
      <c r="G214" s="3" t="s">
        <v>1069</v>
      </c>
      <c r="H214" s="3" t="s">
        <v>1070</v>
      </c>
      <c r="I214" s="2" t="s">
        <v>62</v>
      </c>
    </row>
    <row r="215" customFormat="false" ht="15" hidden="false" customHeight="false" outlineLevel="0" collapsed="false">
      <c r="A215" s="4" t="n">
        <v>214</v>
      </c>
      <c r="B215" s="5" t="s">
        <v>358</v>
      </c>
      <c r="C215" s="4" t="s">
        <v>10</v>
      </c>
      <c r="D215" s="5" t="s">
        <v>1071</v>
      </c>
      <c r="E215" s="5" t="s">
        <v>1072</v>
      </c>
      <c r="F215" s="5" t="s">
        <v>1073</v>
      </c>
      <c r="G215" s="5" t="s">
        <v>1074</v>
      </c>
      <c r="H215" s="5" t="s">
        <v>363</v>
      </c>
      <c r="I215" s="4" t="s">
        <v>27</v>
      </c>
    </row>
    <row r="216" customFormat="false" ht="15" hidden="false" customHeight="false" outlineLevel="0" collapsed="false">
      <c r="A216" s="2" t="n">
        <v>215</v>
      </c>
      <c r="B216" s="3" t="s">
        <v>358</v>
      </c>
      <c r="C216" s="2" t="s">
        <v>10</v>
      </c>
      <c r="D216" s="3" t="s">
        <v>1075</v>
      </c>
      <c r="E216" s="3" t="s">
        <v>1076</v>
      </c>
      <c r="F216" s="3" t="s">
        <v>1077</v>
      </c>
      <c r="G216" s="3" t="s">
        <v>1078</v>
      </c>
      <c r="H216" s="3" t="s">
        <v>1079</v>
      </c>
      <c r="I216" s="2" t="s">
        <v>16</v>
      </c>
    </row>
    <row r="217" customFormat="false" ht="15" hidden="false" customHeight="false" outlineLevel="0" collapsed="false">
      <c r="A217" s="4" t="n">
        <v>216</v>
      </c>
      <c r="B217" s="5" t="s">
        <v>358</v>
      </c>
      <c r="C217" s="4" t="s">
        <v>10</v>
      </c>
      <c r="D217" s="5" t="s">
        <v>1080</v>
      </c>
      <c r="E217" s="5" t="s">
        <v>1081</v>
      </c>
      <c r="F217" s="5" t="s">
        <v>1082</v>
      </c>
      <c r="G217" s="5" t="s">
        <v>1083</v>
      </c>
      <c r="H217" s="5" t="s">
        <v>1084</v>
      </c>
      <c r="I217" s="4" t="s">
        <v>16</v>
      </c>
    </row>
    <row r="218" customFormat="false" ht="15" hidden="false" customHeight="false" outlineLevel="0" collapsed="false">
      <c r="A218" s="2" t="n">
        <v>217</v>
      </c>
      <c r="B218" s="3" t="s">
        <v>358</v>
      </c>
      <c r="C218" s="2" t="s">
        <v>10</v>
      </c>
      <c r="D218" s="3" t="s">
        <v>1085</v>
      </c>
      <c r="E218" s="3" t="s">
        <v>1086</v>
      </c>
      <c r="F218" s="3" t="s">
        <v>1087</v>
      </c>
      <c r="G218" s="3" t="s">
        <v>1088</v>
      </c>
      <c r="H218" s="3" t="s">
        <v>1089</v>
      </c>
      <c r="I218" s="2" t="s">
        <v>16</v>
      </c>
    </row>
    <row r="219" customFormat="false" ht="35.05" hidden="false" customHeight="false" outlineLevel="0" collapsed="false">
      <c r="A219" s="4" t="n">
        <v>218</v>
      </c>
      <c r="B219" s="5" t="s">
        <v>358</v>
      </c>
      <c r="C219" s="4" t="s">
        <v>28</v>
      </c>
      <c r="D219" s="5" t="s">
        <v>1090</v>
      </c>
      <c r="E219" s="5" t="s">
        <v>1091</v>
      </c>
      <c r="F219" s="5" t="s">
        <v>1092</v>
      </c>
      <c r="G219" s="5" t="s">
        <v>1093</v>
      </c>
      <c r="H219" s="5" t="s">
        <v>1094</v>
      </c>
      <c r="I219" s="4" t="s">
        <v>27</v>
      </c>
    </row>
    <row r="220" customFormat="false" ht="35.05" hidden="false" customHeight="false" outlineLevel="0" collapsed="false">
      <c r="A220" s="2" t="n">
        <v>219</v>
      </c>
      <c r="B220" s="3" t="s">
        <v>358</v>
      </c>
      <c r="C220" s="2" t="s">
        <v>28</v>
      </c>
      <c r="D220" s="3" t="s">
        <v>1095</v>
      </c>
      <c r="E220" s="3" t="s">
        <v>1096</v>
      </c>
      <c r="F220" s="3" t="s">
        <v>1097</v>
      </c>
      <c r="G220" s="3" t="s">
        <v>1098</v>
      </c>
      <c r="H220" s="3" t="s">
        <v>1099</v>
      </c>
      <c r="I220" s="2" t="s">
        <v>34</v>
      </c>
    </row>
    <row r="221" customFormat="false" ht="35.05" hidden="false" customHeight="false" outlineLevel="0" collapsed="false">
      <c r="A221" s="4" t="n">
        <v>220</v>
      </c>
      <c r="B221" s="5" t="s">
        <v>358</v>
      </c>
      <c r="C221" s="4" t="s">
        <v>28</v>
      </c>
      <c r="D221" s="5" t="s">
        <v>1100</v>
      </c>
      <c r="E221" s="5" t="s">
        <v>1101</v>
      </c>
      <c r="F221" s="5" t="s">
        <v>1102</v>
      </c>
      <c r="G221" s="5" t="s">
        <v>1103</v>
      </c>
      <c r="H221" s="5" t="s">
        <v>1104</v>
      </c>
      <c r="I221" s="4" t="s">
        <v>16</v>
      </c>
    </row>
    <row r="222" customFormat="false" ht="23.85" hidden="false" customHeight="false" outlineLevel="0" collapsed="false">
      <c r="A222" s="2" t="n">
        <v>221</v>
      </c>
      <c r="B222" s="3" t="s">
        <v>358</v>
      </c>
      <c r="C222" s="2" t="s">
        <v>28</v>
      </c>
      <c r="D222" s="3" t="s">
        <v>1105</v>
      </c>
      <c r="E222" s="3" t="s">
        <v>1106</v>
      </c>
      <c r="F222" s="3" t="s">
        <v>1107</v>
      </c>
      <c r="G222" s="3" t="s">
        <v>1108</v>
      </c>
      <c r="H222" s="3" t="s">
        <v>1109</v>
      </c>
      <c r="I222" s="2" t="s">
        <v>16</v>
      </c>
    </row>
    <row r="223" customFormat="false" ht="46.25" hidden="false" customHeight="false" outlineLevel="0" collapsed="false">
      <c r="A223" s="4" t="n">
        <v>222</v>
      </c>
      <c r="B223" s="5" t="s">
        <v>358</v>
      </c>
      <c r="C223" s="4" t="s">
        <v>45</v>
      </c>
      <c r="D223" s="5" t="s">
        <v>1110</v>
      </c>
      <c r="E223" s="5" t="s">
        <v>1111</v>
      </c>
      <c r="F223" s="5" t="s">
        <v>1112</v>
      </c>
      <c r="G223" s="5" t="s">
        <v>1113</v>
      </c>
      <c r="H223" s="5" t="s">
        <v>1114</v>
      </c>
      <c r="I223" s="4" t="s">
        <v>16</v>
      </c>
    </row>
    <row r="224" customFormat="false" ht="35.05" hidden="false" customHeight="false" outlineLevel="0" collapsed="false">
      <c r="A224" s="2" t="n">
        <v>223</v>
      </c>
      <c r="B224" s="3" t="s">
        <v>358</v>
      </c>
      <c r="C224" s="2" t="s">
        <v>45</v>
      </c>
      <c r="D224" s="3" t="s">
        <v>1115</v>
      </c>
      <c r="E224" s="3" t="s">
        <v>1116</v>
      </c>
      <c r="F224" s="3" t="s">
        <v>1117</v>
      </c>
      <c r="G224" s="3" t="s">
        <v>1118</v>
      </c>
      <c r="H224" s="3" t="s">
        <v>1119</v>
      </c>
      <c r="I224" s="2" t="s">
        <v>62</v>
      </c>
    </row>
    <row r="225" customFormat="false" ht="35.05" hidden="false" customHeight="false" outlineLevel="0" collapsed="false">
      <c r="A225" s="4" t="n">
        <v>224</v>
      </c>
      <c r="B225" s="5" t="s">
        <v>358</v>
      </c>
      <c r="C225" s="4" t="s">
        <v>45</v>
      </c>
      <c r="D225" s="5" t="s">
        <v>1120</v>
      </c>
      <c r="E225" s="5" t="s">
        <v>1121</v>
      </c>
      <c r="F225" s="5" t="s">
        <v>1122</v>
      </c>
      <c r="G225" s="5" t="s">
        <v>1123</v>
      </c>
      <c r="H225" s="5" t="s">
        <v>1124</v>
      </c>
      <c r="I225" s="4" t="s">
        <v>62</v>
      </c>
    </row>
    <row r="226" customFormat="false" ht="23.85" hidden="false" customHeight="false" outlineLevel="0" collapsed="false">
      <c r="A226" s="2" t="n">
        <v>225</v>
      </c>
      <c r="B226" s="3" t="s">
        <v>379</v>
      </c>
      <c r="C226" s="2" t="s">
        <v>10</v>
      </c>
      <c r="D226" s="3" t="s">
        <v>1125</v>
      </c>
      <c r="E226" s="3" t="s">
        <v>1126</v>
      </c>
      <c r="F226" s="3" t="s">
        <v>1127</v>
      </c>
      <c r="G226" s="3" t="s">
        <v>847</v>
      </c>
      <c r="H226" s="3" t="s">
        <v>1128</v>
      </c>
      <c r="I226" s="2" t="s">
        <v>16</v>
      </c>
    </row>
    <row r="227" customFormat="false" ht="23.85" hidden="false" customHeight="false" outlineLevel="0" collapsed="false">
      <c r="A227" s="4" t="n">
        <v>226</v>
      </c>
      <c r="B227" s="5" t="s">
        <v>379</v>
      </c>
      <c r="C227" s="4" t="s">
        <v>10</v>
      </c>
      <c r="D227" s="5" t="s">
        <v>1129</v>
      </c>
      <c r="E227" s="5" t="s">
        <v>1130</v>
      </c>
      <c r="F227" s="5" t="s">
        <v>1131</v>
      </c>
      <c r="G227" s="5" t="s">
        <v>1132</v>
      </c>
      <c r="H227" s="5" t="s">
        <v>1133</v>
      </c>
      <c r="I227" s="4" t="s">
        <v>27</v>
      </c>
    </row>
    <row r="228" customFormat="false" ht="23.85" hidden="false" customHeight="false" outlineLevel="0" collapsed="false">
      <c r="A228" s="2" t="n">
        <v>227</v>
      </c>
      <c r="B228" s="3" t="s">
        <v>379</v>
      </c>
      <c r="C228" s="2" t="s">
        <v>10</v>
      </c>
      <c r="D228" s="3" t="s">
        <v>1134</v>
      </c>
      <c r="E228" s="3" t="s">
        <v>1135</v>
      </c>
      <c r="F228" s="3" t="s">
        <v>1136</v>
      </c>
      <c r="G228" s="3" t="s">
        <v>1137</v>
      </c>
      <c r="H228" s="3" t="s">
        <v>1138</v>
      </c>
      <c r="I228" s="2" t="s">
        <v>34</v>
      </c>
    </row>
    <row r="229" customFormat="false" ht="23.85" hidden="false" customHeight="false" outlineLevel="0" collapsed="false">
      <c r="A229" s="4" t="n">
        <v>228</v>
      </c>
      <c r="B229" s="5" t="s">
        <v>379</v>
      </c>
      <c r="C229" s="4" t="s">
        <v>10</v>
      </c>
      <c r="D229" s="5" t="s">
        <v>1139</v>
      </c>
      <c r="E229" s="5" t="s">
        <v>1140</v>
      </c>
      <c r="F229" s="5" t="s">
        <v>1141</v>
      </c>
      <c r="G229" s="5" t="s">
        <v>1032</v>
      </c>
      <c r="H229" s="5" t="s">
        <v>1142</v>
      </c>
      <c r="I229" s="4" t="s">
        <v>16</v>
      </c>
    </row>
    <row r="230" customFormat="false" ht="23.85" hidden="false" customHeight="false" outlineLevel="0" collapsed="false">
      <c r="A230" s="2" t="n">
        <v>229</v>
      </c>
      <c r="B230" s="3" t="s">
        <v>379</v>
      </c>
      <c r="C230" s="2" t="s">
        <v>28</v>
      </c>
      <c r="D230" s="3" t="s">
        <v>1143</v>
      </c>
      <c r="E230" s="3" t="s">
        <v>1144</v>
      </c>
      <c r="F230" s="3" t="s">
        <v>1145</v>
      </c>
      <c r="G230" s="3" t="s">
        <v>459</v>
      </c>
      <c r="H230" s="3" t="s">
        <v>1146</v>
      </c>
      <c r="I230" s="2" t="s">
        <v>16</v>
      </c>
    </row>
    <row r="231" customFormat="false" ht="23.85" hidden="false" customHeight="false" outlineLevel="0" collapsed="false">
      <c r="A231" s="4" t="n">
        <v>230</v>
      </c>
      <c r="B231" s="5" t="s">
        <v>379</v>
      </c>
      <c r="C231" s="4" t="s">
        <v>28</v>
      </c>
      <c r="D231" s="5" t="s">
        <v>1147</v>
      </c>
      <c r="E231" s="5" t="s">
        <v>1148</v>
      </c>
      <c r="F231" s="5" t="s">
        <v>1149</v>
      </c>
      <c r="G231" s="5" t="s">
        <v>1150</v>
      </c>
      <c r="H231" s="5" t="s">
        <v>1151</v>
      </c>
      <c r="I231" s="4" t="s">
        <v>34</v>
      </c>
    </row>
    <row r="232" customFormat="false" ht="23.85" hidden="false" customHeight="false" outlineLevel="0" collapsed="false">
      <c r="A232" s="2" t="n">
        <v>231</v>
      </c>
      <c r="B232" s="3" t="s">
        <v>379</v>
      </c>
      <c r="C232" s="2" t="s">
        <v>28</v>
      </c>
      <c r="D232" s="3" t="s">
        <v>1152</v>
      </c>
      <c r="E232" s="3" t="s">
        <v>1153</v>
      </c>
      <c r="F232" s="3" t="s">
        <v>1154</v>
      </c>
      <c r="G232" s="3" t="s">
        <v>1155</v>
      </c>
      <c r="H232" s="3" t="s">
        <v>1156</v>
      </c>
      <c r="I232" s="2" t="s">
        <v>27</v>
      </c>
    </row>
    <row r="233" customFormat="false" ht="23.85" hidden="false" customHeight="false" outlineLevel="0" collapsed="false">
      <c r="A233" s="4" t="n">
        <v>232</v>
      </c>
      <c r="B233" s="5" t="s">
        <v>379</v>
      </c>
      <c r="C233" s="4" t="s">
        <v>28</v>
      </c>
      <c r="D233" s="5" t="s">
        <v>1157</v>
      </c>
      <c r="E233" s="5" t="s">
        <v>1158</v>
      </c>
      <c r="F233" s="5" t="s">
        <v>1159</v>
      </c>
      <c r="G233" s="5" t="s">
        <v>1160</v>
      </c>
      <c r="H233" s="5" t="s">
        <v>1161</v>
      </c>
      <c r="I233" s="4" t="s">
        <v>16</v>
      </c>
    </row>
    <row r="234" customFormat="false" ht="23.85" hidden="false" customHeight="false" outlineLevel="0" collapsed="false">
      <c r="A234" s="2" t="n">
        <v>233</v>
      </c>
      <c r="B234" s="3" t="s">
        <v>379</v>
      </c>
      <c r="C234" s="2" t="s">
        <v>28</v>
      </c>
      <c r="D234" s="3" t="s">
        <v>1162</v>
      </c>
      <c r="E234" s="3" t="s">
        <v>1163</v>
      </c>
      <c r="F234" s="3" t="s">
        <v>1164</v>
      </c>
      <c r="G234" s="3" t="s">
        <v>1165</v>
      </c>
      <c r="H234" s="3" t="s">
        <v>1166</v>
      </c>
      <c r="I234" s="2" t="s">
        <v>34</v>
      </c>
    </row>
    <row r="235" customFormat="false" ht="35.05" hidden="false" customHeight="false" outlineLevel="0" collapsed="false">
      <c r="A235" s="4" t="n">
        <v>234</v>
      </c>
      <c r="B235" s="5" t="s">
        <v>379</v>
      </c>
      <c r="C235" s="4" t="s">
        <v>28</v>
      </c>
      <c r="D235" s="5" t="s">
        <v>1167</v>
      </c>
      <c r="E235" s="5" t="s">
        <v>1168</v>
      </c>
      <c r="F235" s="5" t="s">
        <v>1169</v>
      </c>
      <c r="G235" s="5" t="s">
        <v>1170</v>
      </c>
      <c r="H235" s="5" t="s">
        <v>1171</v>
      </c>
      <c r="I235" s="4" t="s">
        <v>34</v>
      </c>
    </row>
    <row r="236" customFormat="false" ht="35.05" hidden="false" customHeight="false" outlineLevel="0" collapsed="false">
      <c r="A236" s="2" t="n">
        <v>235</v>
      </c>
      <c r="B236" s="3" t="s">
        <v>379</v>
      </c>
      <c r="C236" s="2" t="s">
        <v>28</v>
      </c>
      <c r="D236" s="3" t="s">
        <v>1172</v>
      </c>
      <c r="E236" s="3" t="s">
        <v>1173</v>
      </c>
      <c r="F236" s="3" t="s">
        <v>1174</v>
      </c>
      <c r="G236" s="3" t="s">
        <v>1175</v>
      </c>
      <c r="H236" s="3" t="s">
        <v>1176</v>
      </c>
      <c r="I236" s="2" t="s">
        <v>16</v>
      </c>
    </row>
    <row r="237" customFormat="false" ht="35.05" hidden="false" customHeight="false" outlineLevel="0" collapsed="false">
      <c r="A237" s="4" t="n">
        <v>236</v>
      </c>
      <c r="B237" s="5" t="s">
        <v>379</v>
      </c>
      <c r="C237" s="4" t="s">
        <v>45</v>
      </c>
      <c r="D237" s="5" t="s">
        <v>1177</v>
      </c>
      <c r="E237" s="5" t="s">
        <v>1178</v>
      </c>
      <c r="F237" s="5" t="s">
        <v>1179</v>
      </c>
      <c r="G237" s="5" t="s">
        <v>1180</v>
      </c>
      <c r="H237" s="5" t="s">
        <v>1181</v>
      </c>
      <c r="I237" s="4" t="s">
        <v>62</v>
      </c>
    </row>
    <row r="238" customFormat="false" ht="35.05" hidden="false" customHeight="false" outlineLevel="0" collapsed="false">
      <c r="A238" s="2" t="n">
        <v>237</v>
      </c>
      <c r="B238" s="3" t="s">
        <v>379</v>
      </c>
      <c r="C238" s="2" t="s">
        <v>45</v>
      </c>
      <c r="D238" s="3" t="s">
        <v>1182</v>
      </c>
      <c r="E238" s="3" t="s">
        <v>1183</v>
      </c>
      <c r="F238" s="3" t="s">
        <v>1184</v>
      </c>
      <c r="G238" s="3" t="s">
        <v>1185</v>
      </c>
      <c r="H238" s="3" t="s">
        <v>1186</v>
      </c>
      <c r="I238" s="2" t="s">
        <v>16</v>
      </c>
    </row>
    <row r="239" customFormat="false" ht="35.05" hidden="false" customHeight="false" outlineLevel="0" collapsed="false">
      <c r="A239" s="4" t="n">
        <v>238</v>
      </c>
      <c r="B239" s="5" t="s">
        <v>379</v>
      </c>
      <c r="C239" s="4" t="s">
        <v>45</v>
      </c>
      <c r="D239" s="5" t="s">
        <v>1187</v>
      </c>
      <c r="E239" s="5" t="s">
        <v>1188</v>
      </c>
      <c r="F239" s="5" t="s">
        <v>1189</v>
      </c>
      <c r="G239" s="5" t="s">
        <v>1190</v>
      </c>
      <c r="H239" s="5" t="s">
        <v>1191</v>
      </c>
      <c r="I239" s="4" t="s">
        <v>34</v>
      </c>
    </row>
    <row r="240" customFormat="false" ht="35.05" hidden="false" customHeight="false" outlineLevel="0" collapsed="false">
      <c r="A240" s="2" t="n">
        <v>239</v>
      </c>
      <c r="B240" s="3" t="s">
        <v>379</v>
      </c>
      <c r="C240" s="2" t="s">
        <v>45</v>
      </c>
      <c r="D240" s="3" t="s">
        <v>1192</v>
      </c>
      <c r="E240" s="3" t="s">
        <v>1193</v>
      </c>
      <c r="F240" s="3" t="s">
        <v>853</v>
      </c>
      <c r="G240" s="3" t="s">
        <v>1194</v>
      </c>
      <c r="H240" s="3" t="s">
        <v>1195</v>
      </c>
      <c r="I240" s="2" t="s">
        <v>34</v>
      </c>
    </row>
    <row r="241" customFormat="false" ht="35.05" hidden="false" customHeight="false" outlineLevel="0" collapsed="false">
      <c r="A241" s="4" t="n">
        <v>240</v>
      </c>
      <c r="B241" s="5" t="s">
        <v>379</v>
      </c>
      <c r="C241" s="4" t="s">
        <v>45</v>
      </c>
      <c r="D241" s="5" t="s">
        <v>1196</v>
      </c>
      <c r="E241" s="5" t="s">
        <v>1197</v>
      </c>
      <c r="F241" s="5" t="s">
        <v>1198</v>
      </c>
      <c r="G241" s="5" t="s">
        <v>1199</v>
      </c>
      <c r="H241" s="5" t="s">
        <v>1200</v>
      </c>
      <c r="I241" s="4" t="s">
        <v>16</v>
      </c>
    </row>
    <row r="242" customFormat="false" ht="23.85" hidden="false" customHeight="false" outlineLevel="0" collapsed="false">
      <c r="A242" s="2" t="n">
        <v>241</v>
      </c>
      <c r="B242" s="3" t="s">
        <v>410</v>
      </c>
      <c r="C242" s="2" t="s">
        <v>10</v>
      </c>
      <c r="D242" s="3" t="s">
        <v>1201</v>
      </c>
      <c r="E242" s="3" t="s">
        <v>1202</v>
      </c>
      <c r="F242" s="3" t="s">
        <v>1203</v>
      </c>
      <c r="G242" s="3" t="s">
        <v>1204</v>
      </c>
      <c r="H242" s="3" t="s">
        <v>1205</v>
      </c>
      <c r="I242" s="2" t="s">
        <v>27</v>
      </c>
    </row>
    <row r="243" customFormat="false" ht="15" hidden="false" customHeight="false" outlineLevel="0" collapsed="false">
      <c r="A243" s="4" t="n">
        <v>242</v>
      </c>
      <c r="B243" s="5" t="s">
        <v>410</v>
      </c>
      <c r="C243" s="4" t="s">
        <v>10</v>
      </c>
      <c r="D243" s="5" t="s">
        <v>1206</v>
      </c>
      <c r="E243" s="5" t="s">
        <v>1207</v>
      </c>
      <c r="F243" s="5" t="s">
        <v>1208</v>
      </c>
      <c r="G243" s="5" t="s">
        <v>1209</v>
      </c>
      <c r="H243" s="5" t="s">
        <v>373</v>
      </c>
      <c r="I243" s="4" t="s">
        <v>16</v>
      </c>
    </row>
    <row r="244" customFormat="false" ht="23.85" hidden="false" customHeight="false" outlineLevel="0" collapsed="false">
      <c r="A244" s="2" t="n">
        <v>243</v>
      </c>
      <c r="B244" s="3" t="s">
        <v>410</v>
      </c>
      <c r="C244" s="2" t="s">
        <v>10</v>
      </c>
      <c r="D244" s="3" t="s">
        <v>1210</v>
      </c>
      <c r="E244" s="3" t="s">
        <v>1211</v>
      </c>
      <c r="F244" s="3" t="s">
        <v>946</v>
      </c>
      <c r="G244" s="3" t="s">
        <v>1212</v>
      </c>
      <c r="H244" s="3" t="s">
        <v>1213</v>
      </c>
      <c r="I244" s="2" t="s">
        <v>27</v>
      </c>
    </row>
    <row r="245" customFormat="false" ht="23.85" hidden="false" customHeight="false" outlineLevel="0" collapsed="false">
      <c r="A245" s="4" t="n">
        <v>244</v>
      </c>
      <c r="B245" s="5" t="s">
        <v>410</v>
      </c>
      <c r="C245" s="4" t="s">
        <v>28</v>
      </c>
      <c r="D245" s="5" t="s">
        <v>1214</v>
      </c>
      <c r="E245" s="5" t="s">
        <v>1215</v>
      </c>
      <c r="F245" s="5" t="s">
        <v>71</v>
      </c>
      <c r="G245" s="5" t="s">
        <v>1216</v>
      </c>
      <c r="H245" s="5" t="s">
        <v>1217</v>
      </c>
      <c r="I245" s="4" t="s">
        <v>27</v>
      </c>
    </row>
    <row r="246" customFormat="false" ht="23.85" hidden="false" customHeight="false" outlineLevel="0" collapsed="false">
      <c r="A246" s="2" t="n">
        <v>245</v>
      </c>
      <c r="B246" s="3" t="s">
        <v>410</v>
      </c>
      <c r="C246" s="2" t="s">
        <v>28</v>
      </c>
      <c r="D246" s="3" t="s">
        <v>1218</v>
      </c>
      <c r="E246" s="3" t="s">
        <v>1219</v>
      </c>
      <c r="F246" s="3" t="s">
        <v>1220</v>
      </c>
      <c r="G246" s="3" t="s">
        <v>1083</v>
      </c>
      <c r="H246" s="3" t="s">
        <v>1221</v>
      </c>
      <c r="I246" s="2" t="s">
        <v>34</v>
      </c>
    </row>
    <row r="247" customFormat="false" ht="23.85" hidden="false" customHeight="false" outlineLevel="0" collapsed="false">
      <c r="A247" s="4" t="n">
        <v>246</v>
      </c>
      <c r="B247" s="5" t="s">
        <v>410</v>
      </c>
      <c r="C247" s="4" t="s">
        <v>28</v>
      </c>
      <c r="D247" s="5" t="s">
        <v>1222</v>
      </c>
      <c r="E247" s="5" t="s">
        <v>1223</v>
      </c>
      <c r="F247" s="5" t="s">
        <v>1224</v>
      </c>
      <c r="G247" s="5" t="s">
        <v>1225</v>
      </c>
      <c r="H247" s="5" t="s">
        <v>706</v>
      </c>
      <c r="I247" s="4" t="s">
        <v>62</v>
      </c>
    </row>
    <row r="248" customFormat="false" ht="35.05" hidden="false" customHeight="false" outlineLevel="0" collapsed="false">
      <c r="A248" s="2" t="n">
        <v>247</v>
      </c>
      <c r="B248" s="3" t="s">
        <v>410</v>
      </c>
      <c r="C248" s="2" t="s">
        <v>45</v>
      </c>
      <c r="D248" s="3" t="s">
        <v>1226</v>
      </c>
      <c r="E248" s="3" t="s">
        <v>1227</v>
      </c>
      <c r="F248" s="3" t="s">
        <v>1228</v>
      </c>
      <c r="G248" s="3" t="s">
        <v>1229</v>
      </c>
      <c r="H248" s="3" t="s">
        <v>1230</v>
      </c>
      <c r="I248" s="2" t="s">
        <v>16</v>
      </c>
    </row>
    <row r="249" customFormat="false" ht="35.05" hidden="false" customHeight="false" outlineLevel="0" collapsed="false">
      <c r="A249" s="4" t="n">
        <v>248</v>
      </c>
      <c r="B249" s="5" t="s">
        <v>410</v>
      </c>
      <c r="C249" s="4" t="s">
        <v>45</v>
      </c>
      <c r="D249" s="5" t="s">
        <v>1231</v>
      </c>
      <c r="E249" s="5" t="s">
        <v>1232</v>
      </c>
      <c r="F249" s="5" t="s">
        <v>1233</v>
      </c>
      <c r="G249" s="5" t="s">
        <v>1234</v>
      </c>
      <c r="H249" s="5" t="s">
        <v>1235</v>
      </c>
      <c r="I249" s="4" t="s">
        <v>62</v>
      </c>
    </row>
    <row r="250" customFormat="false" ht="23.85" hidden="false" customHeight="false" outlineLevel="0" collapsed="false">
      <c r="A250" s="2" t="n">
        <v>249</v>
      </c>
      <c r="B250" s="3" t="s">
        <v>410</v>
      </c>
      <c r="C250" s="2" t="s">
        <v>45</v>
      </c>
      <c r="D250" s="3" t="s">
        <v>1236</v>
      </c>
      <c r="E250" s="3" t="s">
        <v>1237</v>
      </c>
      <c r="F250" s="3" t="s">
        <v>1238</v>
      </c>
      <c r="G250" s="3" t="s">
        <v>1239</v>
      </c>
      <c r="H250" s="3" t="s">
        <v>1240</v>
      </c>
      <c r="I250" s="2" t="s">
        <v>16</v>
      </c>
    </row>
    <row r="251" customFormat="false" ht="35.05" hidden="false" customHeight="false" outlineLevel="0" collapsed="false">
      <c r="A251" s="4" t="n">
        <v>250</v>
      </c>
      <c r="B251" s="5" t="s">
        <v>410</v>
      </c>
      <c r="C251" s="4" t="s">
        <v>45</v>
      </c>
      <c r="D251" s="5" t="s">
        <v>1241</v>
      </c>
      <c r="E251" s="5" t="s">
        <v>1242</v>
      </c>
      <c r="F251" s="5" t="s">
        <v>1243</v>
      </c>
      <c r="G251" s="5" t="s">
        <v>1244</v>
      </c>
      <c r="H251" s="5" t="s">
        <v>1245</v>
      </c>
      <c r="I251" s="4" t="s">
        <v>34</v>
      </c>
    </row>
  </sheetData>
  <autoFilter ref="A1:I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21.75" hidden="false" customHeight="true" outlineLevel="0" collapsed="false">
      <c r="A1" s="6" t="s">
        <v>1246</v>
      </c>
    </row>
    <row r="3" customFormat="false" ht="26.85" hidden="false" customHeight="false" outlineLevel="0" collapsed="false">
      <c r="A3" s="7" t="s">
        <v>1247</v>
      </c>
      <c r="B3" s="7" t="s">
        <v>1248</v>
      </c>
      <c r="C3" s="7" t="s">
        <v>1249</v>
      </c>
      <c r="D3" s="7" t="s">
        <v>1250</v>
      </c>
    </row>
    <row r="4" customFormat="false" ht="26.85" hidden="false" customHeight="false" outlineLevel="0" collapsed="false">
      <c r="A4" s="8" t="s">
        <v>1251</v>
      </c>
      <c r="B4" s="9" t="n">
        <f aca="false">COUNTIF('Cloud, Prog &amp; GenAI MCQ'!C:C,"Easy")</f>
        <v>75</v>
      </c>
      <c r="C4" s="9" t="s">
        <v>1252</v>
      </c>
      <c r="D4" s="8" t="s">
        <v>1253</v>
      </c>
    </row>
    <row r="5" customFormat="false" ht="26.85" hidden="false" customHeight="false" outlineLevel="0" collapsed="false">
      <c r="A5" s="10" t="s">
        <v>1254</v>
      </c>
      <c r="B5" s="11" t="n">
        <f aca="false">COUNTIF('Cloud, Prog &amp; GenAI MCQ'!C:C,"Medium")</f>
        <v>100</v>
      </c>
      <c r="C5" s="11" t="s">
        <v>1255</v>
      </c>
      <c r="D5" s="10" t="s">
        <v>1256</v>
      </c>
    </row>
    <row r="6" customFormat="false" ht="26.85" hidden="false" customHeight="false" outlineLevel="0" collapsed="false">
      <c r="A6" s="12" t="s">
        <v>1257</v>
      </c>
      <c r="B6" s="13" t="n">
        <f aca="false">COUNTIF('Cloud, Prog &amp; GenAI MCQ'!C:C,"Difficult")</f>
        <v>75</v>
      </c>
      <c r="C6" s="13" t="s">
        <v>1252</v>
      </c>
      <c r="D6" s="12" t="s">
        <v>1258</v>
      </c>
    </row>
    <row r="7" customFormat="false" ht="15" hidden="false" customHeight="false" outlineLevel="0" collapsed="false">
      <c r="A7" s="14" t="s">
        <v>1259</v>
      </c>
      <c r="B7" s="15" t="n">
        <f aca="false">SUM(B4:B6)</f>
        <v>250</v>
      </c>
      <c r="C7" s="15" t="s">
        <v>1260</v>
      </c>
      <c r="D7" s="14" t="s">
        <v>1261</v>
      </c>
    </row>
    <row r="10" customFormat="false" ht="15" hidden="false" customHeight="false" outlineLevel="0" collapsed="false">
      <c r="A10" s="16" t="s">
        <v>1262</v>
      </c>
    </row>
    <row r="11" customFormat="false" ht="26.85" hidden="false" customHeight="false" outlineLevel="0" collapsed="false">
      <c r="A11" s="1" t="s">
        <v>1</v>
      </c>
      <c r="B11" s="1" t="s">
        <v>1263</v>
      </c>
    </row>
    <row r="12" customFormat="false" ht="15" hidden="false" customHeight="false" outlineLevel="0" collapsed="false">
      <c r="A12" s="3" t="s">
        <v>9</v>
      </c>
      <c r="B12" s="17" t="n">
        <f aca="false">COUNTIF('Cloud, Prog &amp; GenAI MCQ'!B:B,"Cloud Fundamentals")</f>
        <v>20</v>
      </c>
    </row>
    <row r="13" customFormat="false" ht="15" hidden="false" customHeight="false" outlineLevel="0" collapsed="false">
      <c r="A13" s="5" t="s">
        <v>56</v>
      </c>
      <c r="B13" s="18" t="n">
        <f aca="false">COUNTIF('Cloud, Prog &amp; GenAI MCQ'!B:B,"RDBMS &amp; SQL (MySQL)")</f>
        <v>35</v>
      </c>
    </row>
    <row r="14" customFormat="false" ht="15" hidden="false" customHeight="false" outlineLevel="0" collapsed="false">
      <c r="A14" s="3" t="s">
        <v>128</v>
      </c>
      <c r="B14" s="17" t="n">
        <f aca="false">COUNTIF('Cloud, Prog &amp; GenAI MCQ'!B:B,"Python for Data Engineers")</f>
        <v>40</v>
      </c>
    </row>
    <row r="15" customFormat="false" ht="15" hidden="false" customHeight="false" outlineLevel="0" collapsed="false">
      <c r="A15" s="5" t="s">
        <v>199</v>
      </c>
      <c r="B15" s="18" t="n">
        <f aca="false">COUNTIF('Cloud, Prog &amp; GenAI MCQ'!B:B,"Copilot Fundamentals")</f>
        <v>20</v>
      </c>
    </row>
    <row r="16" customFormat="false" ht="15" hidden="false" customHeight="false" outlineLevel="0" collapsed="false">
      <c r="A16" s="3" t="s">
        <v>240</v>
      </c>
      <c r="B16" s="17" t="n">
        <f aca="false">COUNTIF('Cloud, Prog &amp; GenAI MCQ'!B:B,"Introduction to AI &amp; ML")</f>
        <v>40</v>
      </c>
    </row>
    <row r="17" customFormat="false" ht="15" hidden="false" customHeight="false" outlineLevel="0" collapsed="false">
      <c r="A17" s="5" t="s">
        <v>301</v>
      </c>
      <c r="B17" s="18" t="n">
        <f aca="false">COUNTIF('Cloud, Prog &amp; GenAI MCQ'!B:B,"Generative AI Fundamentals")</f>
        <v>25</v>
      </c>
    </row>
    <row r="18" customFormat="false" ht="15" hidden="false" customHeight="false" outlineLevel="0" collapsed="false">
      <c r="A18" s="3" t="s">
        <v>332</v>
      </c>
      <c r="B18" s="17" t="n">
        <f aca="false">COUNTIF('Cloud, Prog &amp; GenAI MCQ'!B:B,"Prompt Engineering")</f>
        <v>20</v>
      </c>
    </row>
    <row r="19" customFormat="false" ht="15" hidden="false" customHeight="false" outlineLevel="0" collapsed="false">
      <c r="A19" s="5" t="s">
        <v>358</v>
      </c>
      <c r="B19" s="18" t="n">
        <f aca="false">COUNTIF('Cloud, Prog &amp; GenAI MCQ'!B:B,"GenAI Tools")</f>
        <v>15</v>
      </c>
    </row>
    <row r="20" customFormat="false" ht="15" hidden="false" customHeight="false" outlineLevel="0" collapsed="false">
      <c r="A20" s="3" t="s">
        <v>379</v>
      </c>
      <c r="B20" s="17" t="n">
        <f aca="false">COUNTIF('Cloud, Prog &amp; GenAI MCQ'!B:B,"Retrieval Augmented Generation (RAG)")</f>
        <v>22</v>
      </c>
    </row>
    <row r="21" customFormat="false" ht="15" hidden="false" customHeight="false" outlineLevel="0" collapsed="false">
      <c r="A21" s="5" t="s">
        <v>410</v>
      </c>
      <c r="B21" s="18" t="n">
        <f aca="false">COUNTIF('Cloud, Prog &amp; GenAI MCQ'!B:B,"App Interfaces &amp; APIs")</f>
        <v>13</v>
      </c>
    </row>
    <row r="22" customFormat="false" ht="15" hidden="false" customHeight="false" outlineLevel="0" collapsed="false">
      <c r="A22" s="19" t="s">
        <v>1264</v>
      </c>
      <c r="B22" s="20" t="n">
        <f aca="false">SUM(B12:B21)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2026-07-09T05:27:40Z</dcterms:created>
  <dc:creator>openpyxl</dc:creator>
  <dc:description/>
  <dc:language>en-US</dc:language>
  <cp:lastModifiedBy/>
  <dcterms:modified xsi:type="dcterms:W3CDTF">2026-07-09T05:27:41Z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